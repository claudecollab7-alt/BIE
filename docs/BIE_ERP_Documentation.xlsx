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enu Index" sheetId="2" state="visible" r:id="rId2"/>
    <sheet xmlns:r="http://schemas.openxmlformats.org/officeDocument/2006/relationships" name="1. Settings" sheetId="3" state="visible" r:id="rId3"/>
    <sheet xmlns:r="http://schemas.openxmlformats.org/officeDocument/2006/relationships" name="2. Masters" sheetId="4" state="visible" r:id="rId4"/>
    <sheet xmlns:r="http://schemas.openxmlformats.org/officeDocument/2006/relationships" name="3. HR Management" sheetId="5" state="visible" r:id="rId5"/>
    <sheet xmlns:r="http://schemas.openxmlformats.org/officeDocument/2006/relationships" name="Tables Reference" sheetId="6" state="visible" r:id="rId6"/>
    <sheet xmlns:r="http://schemas.openxmlformats.org/officeDocument/2006/relationships" name="Coverage" sheetId="7" state="visible" r:id="rId7"/>
  </sheets>
  <definedNames>
    <definedName name="_xlnm._FilterDatabase" localSheetId="1" hidden="1">'Menu Index'!$A$5:$F$79</definedName>
    <definedName name="_xlnm.Print_Titles" localSheetId="1">'Menu Index'!$5:$5</definedName>
    <definedName name="_xlnm._FilterDatabase" localSheetId="2" hidden="1">'1. Settings'!$A$5:$J$8</definedName>
    <definedName name="_xlnm.Print_Titles" localSheetId="2">'1. Settings'!$5:$5</definedName>
    <definedName name="_xlnm._FilterDatabase" localSheetId="3" hidden="1">'2. Masters'!$A$5:$J$14</definedName>
    <definedName name="_xlnm.Print_Titles" localSheetId="3">'2. Masters'!$5:$5</definedName>
    <definedName name="_xlnm._FilterDatabase" localSheetId="4" hidden="1">'3. HR Management'!$A$5:$J$14</definedName>
    <definedName name="_xlnm.Print_Titles" localSheetId="4">'3. HR Management'!$5:$5</definedName>
    <definedName name="_xlnm._FilterDatabase" localSheetId="5" hidden="1">'Tables Reference'!$A$5:$E$34</definedName>
    <definedName name="_xlnm.Print_Titles" localSheetId="5">'Tables Reference'!$5:$5</definedName>
    <definedName name="_xlnm.Print_Titles" localSheetId="6">'Coverage'!$5:$5</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Arial"/>
      <b val="1"/>
      <color rgb="0018506B"/>
      <sz val="15"/>
    </font>
    <font>
      <name val="Arial"/>
      <i val="1"/>
      <color rgb="005B6470"/>
      <sz val="9.5"/>
    </font>
    <font>
      <name val="Arial"/>
      <b val="1"/>
      <color rgb="001A1A1A"/>
      <sz val="10"/>
    </font>
    <font>
      <name val="Arial"/>
      <color rgb="001A1A1A"/>
      <sz val="9.5"/>
    </font>
    <font>
      <name val="Arial"/>
      <b val="1"/>
      <color rgb="0018506B"/>
      <sz val="10"/>
    </font>
    <font>
      <name val="Arial"/>
      <b val="1"/>
      <color rgb="00FFFFFF"/>
      <sz val="10"/>
    </font>
    <font>
      <name val="Arial"/>
      <color rgb="001A1A1A"/>
      <sz val="9"/>
    </font>
    <font>
      <name val="Arial"/>
      <b val="1"/>
      <color rgb="0018506B"/>
      <sz val="9"/>
    </font>
    <font>
      <name val="Arial"/>
      <b val="1"/>
      <color rgb="001A1A1A"/>
      <sz val="9"/>
    </font>
    <font>
      <name val="Arial"/>
      <b val="1"/>
      <color rgb="000F6E52"/>
      <sz val="9"/>
    </font>
    <font>
      <name val="Arial"/>
      <b val="1"/>
      <color rgb="005B6470"/>
      <sz val="9"/>
    </font>
  </fonts>
  <fills count="5">
    <fill>
      <patternFill/>
    </fill>
    <fill>
      <patternFill patternType="gray125"/>
    </fill>
    <fill>
      <patternFill patternType="solid">
        <fgColor rgb="00E8EEF2"/>
      </patternFill>
    </fill>
    <fill>
      <patternFill patternType="solid">
        <fgColor rgb="0018506B"/>
      </patternFill>
    </fill>
    <fill>
      <patternFill patternType="solid">
        <fgColor rgb="00F4F7F9"/>
      </patternFill>
    </fill>
  </fills>
  <borders count="2">
    <border>
      <left/>
      <right/>
      <top/>
      <bottom/>
      <diagonal/>
    </border>
    <border>
      <left style="thin">
        <color rgb="00C9D2DA"/>
      </left>
      <right style="thin">
        <color rgb="00C9D2DA"/>
      </right>
      <top style="thin">
        <color rgb="00C9D2DA"/>
      </top>
      <bottom style="thin">
        <color rgb="00C9D2DA"/>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4" fillId="2" borderId="0" applyAlignment="1" pivotButton="0" quotePrefix="0" xfId="0">
      <alignment vertical="top" wrapText="1"/>
    </xf>
    <xf numFmtId="0" fontId="6" fillId="3" borderId="1" applyAlignment="1" pivotButton="0" quotePrefix="0" xfId="0">
      <alignment horizontal="left" vertical="center"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7" fillId="4" borderId="1" applyAlignment="1" pivotButton="0" quotePrefix="0" xfId="0">
      <alignment horizontal="left" vertical="top" wrapText="1"/>
    </xf>
    <xf numFmtId="0" fontId="9" fillId="0" borderId="1" applyAlignment="1" pivotButton="0" quotePrefix="0" xfId="0">
      <alignment horizontal="left" vertical="top" wrapText="1"/>
    </xf>
    <xf numFmtId="0" fontId="9" fillId="4" borderId="1" applyAlignment="1" pivotButton="0" quotePrefix="0" xfId="0">
      <alignment horizontal="left" vertical="top" wrapText="1"/>
    </xf>
    <xf numFmtId="0" fontId="10" fillId="0" borderId="1" applyAlignment="1" pivotButton="0" quotePrefix="0" xfId="0">
      <alignment horizontal="left" vertical="top" wrapText="1"/>
    </xf>
    <xf numFmtId="0" fontId="10" fillId="4" borderId="1" applyAlignment="1" pivotButton="0" quotePrefix="0" xfId="0">
      <alignment horizontal="left" vertical="top" wrapText="1"/>
    </xf>
    <xf numFmtId="0" fontId="11" fillId="4" borderId="1" applyAlignment="1" pivotButton="0" quotePrefix="0" xfId="0">
      <alignment horizontal="left" vertical="top" wrapText="1"/>
    </xf>
    <xf numFmtId="0" fontId="11" fillId="0" borderId="1" applyAlignment="1" pivotButton="0" quotePrefix="0" xfId="0">
      <alignment horizontal="left" vertical="top" wrapText="1"/>
    </xf>
    <xf numFmtId="0" fontId="5" fillId="2" borderId="1" pivotButton="0" quotePrefix="0" xfId="0"/>
    <xf numFmtId="0" fontId="3" fillId="2" borderId="1" applyAlignment="1" pivotButton="0" quotePrefix="0" xfId="0">
      <alignment horizontal="center"/>
    </xf>
    <xf numFmtId="164" fontId="3"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40"/>
  <sheetViews>
    <sheetView showGridLines="0" workbookViewId="0">
      <pane ySplit="4" topLeftCell="A5" activePane="bottomLeft" state="frozen"/>
      <selection pane="bottomLeft" activeCell="A1" sqref="A1"/>
    </sheetView>
  </sheetViews>
  <sheetFormatPr baseColWidth="8" defaultRowHeight="15"/>
  <cols>
    <col width="34" customWidth="1" min="1" max="1"/>
    <col width="104" customWidth="1" min="2" max="2"/>
  </cols>
  <sheetData>
    <row r="1" ht="22" customHeight="1">
      <c r="A1" s="1" t="inlineStr">
        <is>
          <t>BIE ERP - Documentation Workbook</t>
        </is>
      </c>
    </row>
    <row r="2" ht="16" customHeight="1">
      <c r="A2" s="2" t="inlineStr">
        <is>
          <t>Phase 1  ·  Settings, Masters and HR Management  ·  21 of 63 screens  ·  companion to the Word document</t>
        </is>
      </c>
    </row>
    <row r="3" ht="6" customHeight="1"/>
    <row r="5" ht="30" customHeight="1">
      <c r="A5" s="3" t="inlineStr">
        <is>
          <t>What this workbook is</t>
        </is>
      </c>
      <c r="B5" s="4" t="inlineStr">
        <is>
          <t>One row per screen, one sheet per menu. The same material as the Word document, laid out for quick lookup and for tracking coverage as later phases are added.</t>
        </is>
      </c>
    </row>
    <row r="6" ht="30" customHeight="1">
      <c r="A6" s="3" t="inlineStr">
        <is>
          <t>How to read a menu sheet</t>
        </is>
      </c>
      <c r="B6" s="4" t="inlineStr">
        <is>
          <t>Columns run left to right in the order you need them: what the screen IS, then which TABLES it uses, then what it WRITES, then the FLOW, then where it REFLECTS, then the TRAPS.</t>
        </is>
      </c>
    </row>
    <row r="7" ht="12" customHeight="1">
      <c r="A7" s="3" t="inlineStr"/>
      <c r="B7" s="4" t="inlineStr"/>
    </row>
    <row r="8" ht="12" customHeight="1">
      <c r="A8" s="5" t="inlineStr">
        <is>
          <t>SHEETS</t>
        </is>
      </c>
      <c r="B8" s="6" t="inlineStr"/>
    </row>
    <row r="9" ht="18" customHeight="1">
      <c r="A9" s="3" t="inlineStr">
        <is>
          <t>Menu Index</t>
        </is>
      </c>
      <c r="B9" s="4" t="inlineStr">
        <is>
          <t>All 11 menus and 63 live sub-menus, with the file each opens and which part documents it.</t>
        </is>
      </c>
    </row>
    <row r="10" ht="18" customHeight="1">
      <c r="A10" s="3" t="inlineStr">
        <is>
          <t>1. Settings</t>
        </is>
      </c>
      <c r="B10" s="4" t="inlineStr">
        <is>
          <t>3 screens - who may log in, which branches exist, and which suppliers get an automatic discount.</t>
        </is>
      </c>
    </row>
    <row r="11" ht="18" customHeight="1">
      <c r="A11" s="3" t="inlineStr">
        <is>
          <t>2. Masters</t>
        </is>
      </c>
      <c r="B11" s="4" t="inlineStr">
        <is>
          <t>9 screens - customers, suppliers, the address and org lookups, and the payroll calendar.</t>
        </is>
      </c>
    </row>
    <row r="12" ht="18" customHeight="1">
      <c r="A12" s="3" t="inlineStr">
        <is>
          <t>3. HR Management</t>
        </is>
      </c>
      <c r="B12" s="4" t="inlineStr">
        <is>
          <t>9 screens - the employee record, salary packages, advances, debit notes and shifts.</t>
        </is>
      </c>
    </row>
    <row r="13" ht="18" customHeight="1">
      <c r="A13" s="3" t="inlineStr">
        <is>
          <t>Tables Reference</t>
        </is>
      </c>
      <c r="B13" s="4" t="inlineStr">
        <is>
          <t>Every table touched in this phase, what it holds, and which screens use it.</t>
        </is>
      </c>
    </row>
    <row r="14" ht="18" customHeight="1">
      <c r="A14" s="3" t="inlineStr">
        <is>
          <t>Coverage</t>
        </is>
      </c>
      <c r="B14" s="4" t="inlineStr">
        <is>
          <t>Phase plan and progress, with live formulas.</t>
        </is>
      </c>
    </row>
    <row r="15" ht="12" customHeight="1">
      <c r="A15" s="3" t="inlineStr"/>
      <c r="B15" s="4" t="inlineStr"/>
    </row>
    <row r="16" ht="12" customHeight="1">
      <c r="A16" s="5" t="inlineStr">
        <is>
          <t>THE ONE THING TO UNDERSTAND FIRST</t>
        </is>
      </c>
      <c r="B16" s="6" t="inlineStr"/>
    </row>
    <row r="17" ht="42" customHeight="1">
      <c r="A17" s="3" t="inlineStr">
        <is>
          <t>BIE is multi-BRANCH by COLUMN</t>
        </is>
      </c>
      <c r="B17" s="4" t="inlineStr">
        <is>
          <t>Most systems add a branch_id column and store one row per branch. BIE does not. It stores ONE ROW PER ITEM and gives each branch its own SET OF COLUMNS - ho_stock, kl_stock, rjpm_stock, and the same again for every price, discount, margin and bin location.</t>
        </is>
      </c>
    </row>
    <row r="18" ht="42" customHeight="1">
      <c r="A18" s="3" t="inlineStr">
        <is>
          <t>mst_branch stores the names</t>
        </is>
      </c>
      <c r="B18" s="4" t="inlineStr">
        <is>
          <t>The branch row does not hold the stock; it holds the NAME OF THE COLUMN that holds the stock. A screen reads branch_stock_field from mst_branch, gets back the text 'ho_stock', and builds its SQL around it. That substitution is every branch-aware query in BIE.</t>
        </is>
      </c>
    </row>
    <row r="19" ht="30" customHeight="1">
      <c r="A19" s="3" t="inlineStr">
        <is>
          <t>Why it matters</t>
        </is>
      </c>
      <c r="B19" s="4" t="inlineStr">
        <is>
          <t>When a figure looks right for one branch and wrong for another, this is why - the two branches are literally different columns, and a screen that hardcodes ho_stock is right at Head Office and wrong everywhere else.</t>
        </is>
      </c>
    </row>
    <row r="20" ht="12" customHeight="1">
      <c r="A20" s="3" t="inlineStr"/>
      <c r="B20" s="4" t="inlineStr"/>
    </row>
    <row r="21" ht="12" customHeight="1">
      <c r="A21" s="5" t="inlineStr">
        <is>
          <t>LEGEND</t>
        </is>
      </c>
      <c r="B21" s="6" t="inlineStr"/>
    </row>
    <row r="22" ht="18" customHeight="1">
      <c r="A22" s="3" t="inlineStr">
        <is>
          <t>R / W / RW</t>
        </is>
      </c>
      <c r="B22" s="4" t="inlineStr">
        <is>
          <t>Table is Read / Written / both by that screen.</t>
        </is>
      </c>
    </row>
    <row r="23" ht="30" customHeight="1">
      <c r="A23" s="3" t="inlineStr">
        <is>
          <t>Soft delete</t>
        </is>
      </c>
      <c r="B23" s="4" t="inlineStr">
        <is>
          <t>The dustbin icon sets a status column to 0 via inc/cis_ajax/jquery_delete_records.php (or jquery_delete_records_hr.php for HR). Nothing is physically removed, and lists filter on status = 1.</t>
        </is>
      </c>
    </row>
    <row r="24" ht="30" customHeight="1">
      <c r="A24" s="3" t="inlineStr">
        <is>
          <t>(W) on mst_ledger</t>
        </is>
      </c>
      <c r="B24" s="4" t="inlineStr">
        <is>
          <t>The screen auto-creates an accounts ledger BEFORE writing the master row, and stores its ledger_id on the master.</t>
        </is>
      </c>
    </row>
    <row r="25" ht="30" customHeight="1">
      <c r="A25" s="3" t="inlineStr">
        <is>
          <t>tbl_accounts</t>
        </is>
      </c>
      <c r="B25" s="4" t="inlineStr">
        <is>
          <t>The single central double-entry journal. Every money movement in the system posts here; Day Book, Ledger Book and Trial Balance are three readings of it.</t>
        </is>
      </c>
    </row>
    <row r="26" ht="30" customHeight="1">
      <c r="A26" s="3" t="inlineStr">
        <is>
          <t>_temp tables</t>
        </is>
      </c>
      <c r="B26" s="4" t="inlineStr">
        <is>
          <t>Session-tagged staging for document lines while a form is open. Copied to the real table on save, then cleared.</t>
        </is>
      </c>
    </row>
    <row r="27" ht="12" customHeight="1">
      <c r="A27" s="3" t="inlineStr"/>
      <c r="B27" s="4" t="inlineStr"/>
    </row>
    <row r="28" ht="12" customHeight="1">
      <c r="A28" s="5" t="inlineStr">
        <is>
          <t>FIVE RULES THAT HOLD NEARLY EVERYWHERE</t>
        </is>
      </c>
      <c r="B28" s="6" t="inlineStr"/>
    </row>
    <row r="29" ht="30" customHeight="1">
      <c r="A29" s="3" t="inlineStr">
        <is>
          <t>1. Nothing is really deleted</t>
        </is>
      </c>
      <c r="B29" s="4" t="inlineStr">
        <is>
          <t>Every master carries a status column; deleting sets it to 0. The one exception is tbl_user_rights, which is hard-deleted and rebuilt.</t>
        </is>
      </c>
    </row>
    <row r="30" ht="30" customHeight="1">
      <c r="A30" s="3" t="inlineStr">
        <is>
          <t>2. Customers and suppliers share a table</t>
        </is>
      </c>
      <c r="B30" s="4" t="inlineStr">
        <is>
          <t>Both are rows in mst_supplier_new - note the _new. supp_type: C = customer, S = supplier. There is no customer table.</t>
        </is>
      </c>
    </row>
    <row r="31" ht="30" customHeight="1">
      <c r="A31" s="3" t="inlineStr">
        <is>
          <t>3. A party or an employee is also a ledger</t>
        </is>
      </c>
      <c r="B31" s="4" t="inlineStr">
        <is>
          <t>Customer, supplier and employee masters INSERT their mst_ledger row FIRST, then store the new ledger_id on the master row.</t>
        </is>
      </c>
    </row>
    <row r="32" ht="30" customHeight="1">
      <c r="A32" s="3" t="inlineStr">
        <is>
          <t>4. Documents with lines use a _temp staging table</t>
        </is>
      </c>
      <c r="B32" s="4" t="inlineStr">
        <is>
          <t>Lines are staged against your session id while you type, copied under the new header id on save, then cleared. Abandoned documents leave harmless orphan rows.</t>
        </is>
      </c>
    </row>
    <row r="33" ht="42" customHeight="1">
      <c r="A33" s="3" t="inlineStr">
        <is>
          <t>5. Most forms write themselves</t>
        </is>
      </c>
      <c r="B33" s="4" t="inlineStr">
        <is>
          <t>Few screens contain a hand-written INSERT. CIS_InsertRecord and CIS_UpdateRecord DESCRIBE the table and keep only posted values whose NAME MATCHES A REAL COLUMN. So the name of the input box IS the name of the column - and a typo is silently dropped.</t>
        </is>
      </c>
    </row>
    <row r="34" ht="12" customHeight="1">
      <c r="A34" s="3" t="inlineStr"/>
      <c r="B34" s="4" t="inlineStr"/>
    </row>
    <row r="35" ht="12" customHeight="1">
      <c r="A35" s="5" t="inlineStr">
        <is>
          <t>SCOPE</t>
        </is>
      </c>
      <c r="B35" s="6" t="inlineStr"/>
    </row>
    <row r="36" ht="18" customHeight="1">
      <c r="A36" s="3" t="inlineStr">
        <is>
          <t>Schema source</t>
        </is>
      </c>
      <c r="B36" s="4" t="inlineStr">
        <is>
          <t>db/bie.sql - the current dump in the repository. 105 tables.</t>
        </is>
      </c>
    </row>
    <row r="37" ht="18" customHeight="1">
      <c r="A37" s="3" t="inlineStr">
        <is>
          <t>Included</t>
        </is>
      </c>
      <c r="B37" s="4" t="inlineStr">
        <is>
          <t>Only files the live menu actually opens - 63 screens across 11 menus.</t>
        </is>
      </c>
    </row>
    <row r="38" ht="30" customHeight="1">
      <c r="A38" s="3" t="inlineStr">
        <is>
          <t>Excluded</t>
        </is>
      </c>
      <c r="B38" s="4" t="inlineStr">
        <is>
          <t>Eight mst_sub_menu rows with no URL. Seven are hidden; one, Bank Account Details under Settings, is set to show but goes nowhere.</t>
        </is>
      </c>
    </row>
    <row r="39" ht="30" customHeight="1">
      <c r="A39" s="3" t="inlineStr">
        <is>
          <t>Field detail</t>
        </is>
      </c>
      <c r="B39" s="4" t="inlineStr">
        <is>
          <t>The fields that DRIVE behaviour, plus every table write in full. Not an exhaustive inventory of every input on every form.</t>
        </is>
      </c>
    </row>
    <row r="40" ht="30" customHeight="1">
      <c r="A40" s="3" t="inlineStr">
        <is>
          <t>Related system</t>
        </is>
      </c>
      <c r="B40" s="4" t="inlineStr">
        <is>
          <t>Benzear is the sister codebase this one was forked from. Benzear is multi-COMPANY and keys on company_id; BIE is multi-BRANCH and keys on branch_id. A few unused company_id columns survive in BIE from that fork.</t>
        </is>
      </c>
    </row>
  </sheetData>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78"/>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8" customWidth="1" min="3" max="3"/>
    <col width="40" customWidth="1" min="4" max="4"/>
    <col width="42" customWidth="1" min="5" max="5"/>
    <col width="20" customWidth="1" min="6" max="6"/>
  </cols>
  <sheetData>
    <row r="1" ht="22" customHeight="1">
      <c r="A1" s="1" t="inlineStr">
        <is>
          <t>Menu Index - the complete live menu tree</t>
        </is>
      </c>
    </row>
    <row r="2" ht="16" customHeight="1">
      <c r="A2" s="2" t="inlineStr">
        <is>
          <t>From mst_main_menu and mst_sub_menu. 11 menus, 63 live sub-menus. This is what the sidebar draws, filtered by tbl_user_rights - except for administrators, who see everything.</t>
        </is>
      </c>
    </row>
    <row r="3" ht="6" customHeight="1"/>
    <row r="5" ht="30" customHeight="1">
      <c r="A5" s="7" t="inlineStr">
        <is>
          <t>Order</t>
        </is>
      </c>
      <c r="B5" s="7" t="inlineStr">
        <is>
          <t>Main menu</t>
        </is>
      </c>
      <c r="C5" s="7" t="inlineStr">
        <is>
          <t>sm_id</t>
        </is>
      </c>
      <c r="D5" s="7" t="inlineStr">
        <is>
          <t>Sub-menu</t>
        </is>
      </c>
      <c r="E5" s="7" t="inlineStr">
        <is>
          <t>Opens (PHP file)</t>
        </is>
      </c>
      <c r="F5" s="7" t="inlineStr">
        <is>
          <t>Documented in</t>
        </is>
      </c>
    </row>
    <row r="6">
      <c r="A6" s="8" t="n">
        <v>1</v>
      </c>
      <c r="B6" s="9" t="inlineStr">
        <is>
          <t>Settings</t>
        </is>
      </c>
      <c r="C6" s="8" t="n">
        <v>1</v>
      </c>
      <c r="D6" s="8" t="inlineStr">
        <is>
          <t>User</t>
        </is>
      </c>
      <c r="E6" s="8" t="inlineStr">
        <is>
          <t>mst_user.php</t>
        </is>
      </c>
      <c r="F6" s="8" t="inlineStr">
        <is>
          <t>Part 1</t>
        </is>
      </c>
    </row>
    <row r="7">
      <c r="A7" s="10" t="inlineStr"/>
      <c r="B7" s="10" t="inlineStr"/>
      <c r="C7" s="10" t="n">
        <v>108</v>
      </c>
      <c r="D7" s="10" t="inlineStr">
        <is>
          <t>Branch</t>
        </is>
      </c>
      <c r="E7" s="10" t="inlineStr">
        <is>
          <t>mst_branch.php</t>
        </is>
      </c>
      <c r="F7" s="10" t="inlineStr"/>
    </row>
    <row r="8">
      <c r="A8" s="8" t="inlineStr"/>
      <c r="B8" s="8" t="inlineStr"/>
      <c r="C8" s="8" t="n">
        <v>146</v>
      </c>
      <c r="D8" s="8" t="inlineStr">
        <is>
          <t>Common Settings</t>
        </is>
      </c>
      <c r="E8" s="8" t="inlineStr">
        <is>
          <t>mst_common_settings.php</t>
        </is>
      </c>
      <c r="F8" s="8" t="inlineStr"/>
    </row>
    <row r="10">
      <c r="A10" s="8" t="n">
        <v>2</v>
      </c>
      <c r="B10" s="9" t="inlineStr">
        <is>
          <t>Masters</t>
        </is>
      </c>
      <c r="C10" s="8" t="n">
        <v>4</v>
      </c>
      <c r="D10" s="8" t="inlineStr">
        <is>
          <t>Customers</t>
        </is>
      </c>
      <c r="E10" s="8" t="inlineStr">
        <is>
          <t>lst_customers.php</t>
        </is>
      </c>
      <c r="F10" s="8" t="inlineStr">
        <is>
          <t>Part 2</t>
        </is>
      </c>
    </row>
    <row r="11">
      <c r="A11" s="10" t="inlineStr"/>
      <c r="B11" s="10" t="inlineStr"/>
      <c r="C11" s="10" t="n">
        <v>5</v>
      </c>
      <c r="D11" s="10" t="inlineStr">
        <is>
          <t>Suppliers</t>
        </is>
      </c>
      <c r="E11" s="10" t="inlineStr">
        <is>
          <t>lst_supplier.php</t>
        </is>
      </c>
      <c r="F11" s="10" t="inlineStr"/>
    </row>
    <row r="12">
      <c r="A12" s="8" t="inlineStr"/>
      <c r="B12" s="8" t="inlineStr"/>
      <c r="C12" s="8" t="n">
        <v>107</v>
      </c>
      <c r="D12" s="8" t="inlineStr">
        <is>
          <t>Packing Box Type</t>
        </is>
      </c>
      <c r="E12" s="8" t="inlineStr">
        <is>
          <t>mst_boxtype.php</t>
        </is>
      </c>
      <c r="F12" s="8" t="inlineStr"/>
    </row>
    <row r="13">
      <c r="A13" s="10" t="inlineStr"/>
      <c r="B13" s="10" t="inlineStr"/>
      <c r="C13" s="10" t="n">
        <v>116</v>
      </c>
      <c r="D13" s="10" t="inlineStr">
        <is>
          <t>State</t>
        </is>
      </c>
      <c r="E13" s="10" t="inlineStr">
        <is>
          <t>mst_state.php</t>
        </is>
      </c>
      <c r="F13" s="10" t="inlineStr"/>
    </row>
    <row r="14">
      <c r="A14" s="8" t="inlineStr"/>
      <c r="B14" s="8" t="inlineStr"/>
      <c r="C14" s="8" t="n">
        <v>117</v>
      </c>
      <c r="D14" s="8" t="inlineStr">
        <is>
          <t>District</t>
        </is>
      </c>
      <c r="E14" s="8" t="inlineStr">
        <is>
          <t>mst_district.php</t>
        </is>
      </c>
      <c r="F14" s="8" t="inlineStr"/>
    </row>
    <row r="15">
      <c r="A15" s="10" t="inlineStr"/>
      <c r="B15" s="10" t="inlineStr"/>
      <c r="C15" s="10" t="n">
        <v>118</v>
      </c>
      <c r="D15" s="10" t="inlineStr">
        <is>
          <t>City</t>
        </is>
      </c>
      <c r="E15" s="10" t="inlineStr">
        <is>
          <t>mst_city.php</t>
        </is>
      </c>
      <c r="F15" s="10" t="inlineStr"/>
    </row>
    <row r="16">
      <c r="A16" s="8" t="inlineStr"/>
      <c r="B16" s="8" t="inlineStr"/>
      <c r="C16" s="8" t="n">
        <v>121</v>
      </c>
      <c r="D16" s="8" t="inlineStr">
        <is>
          <t>Department</t>
        </is>
      </c>
      <c r="E16" s="8" t="inlineStr">
        <is>
          <t>mst_department.php</t>
        </is>
      </c>
      <c r="F16" s="8" t="inlineStr"/>
    </row>
    <row r="17">
      <c r="A17" s="10" t="inlineStr"/>
      <c r="B17" s="10" t="inlineStr"/>
      <c r="C17" s="10" t="n">
        <v>122</v>
      </c>
      <c r="D17" s="10" t="inlineStr">
        <is>
          <t>Designation</t>
        </is>
      </c>
      <c r="E17" s="10" t="inlineStr">
        <is>
          <t>mst_designation.php</t>
        </is>
      </c>
      <c r="F17" s="10" t="inlineStr"/>
    </row>
    <row r="18">
      <c r="A18" s="8" t="inlineStr"/>
      <c r="B18" s="8" t="inlineStr"/>
      <c r="C18" s="8" t="n">
        <v>50</v>
      </c>
      <c r="D18" s="8" t="inlineStr">
        <is>
          <t>Month Master</t>
        </is>
      </c>
      <c r="E18" s="8" t="inlineStr">
        <is>
          <t>mst_month_master.php</t>
        </is>
      </c>
      <c r="F18" s="8" t="inlineStr"/>
    </row>
    <row r="20">
      <c r="A20" s="8" t="n">
        <v>3</v>
      </c>
      <c r="B20" s="9" t="inlineStr">
        <is>
          <t>HR Management</t>
        </is>
      </c>
      <c r="C20" s="8" t="n">
        <v>120</v>
      </c>
      <c r="D20" s="8" t="inlineStr">
        <is>
          <t>New Employee</t>
        </is>
      </c>
      <c r="E20" s="8" t="inlineStr">
        <is>
          <t>mst_employee_add.php</t>
        </is>
      </c>
      <c r="F20" s="8" t="inlineStr">
        <is>
          <t>Part 3</t>
        </is>
      </c>
    </row>
    <row r="21">
      <c r="A21" s="10" t="inlineStr"/>
      <c r="B21" s="10" t="inlineStr"/>
      <c r="C21" s="10" t="n">
        <v>123</v>
      </c>
      <c r="D21" s="10" t="inlineStr">
        <is>
          <t>Labour List</t>
        </is>
      </c>
      <c r="E21" s="10" t="inlineStr">
        <is>
          <t>lst_labour.php</t>
        </is>
      </c>
      <c r="F21" s="10" t="inlineStr"/>
    </row>
    <row r="22">
      <c r="A22" s="8" t="inlineStr"/>
      <c r="B22" s="8" t="inlineStr"/>
      <c r="C22" s="8" t="n">
        <v>124</v>
      </c>
      <c r="D22" s="8" t="inlineStr">
        <is>
          <t>Staff List</t>
        </is>
      </c>
      <c r="E22" s="8" t="inlineStr">
        <is>
          <t>lst_staff.php</t>
        </is>
      </c>
      <c r="F22" s="8" t="inlineStr"/>
    </row>
    <row r="23">
      <c r="A23" s="10" t="inlineStr"/>
      <c r="B23" s="10" t="inlineStr"/>
      <c r="C23" s="10" t="n">
        <v>125</v>
      </c>
      <c r="D23" s="10" t="inlineStr">
        <is>
          <t>Labour Group</t>
        </is>
      </c>
      <c r="E23" s="10" t="inlineStr">
        <is>
          <t>mst_labour.php</t>
        </is>
      </c>
      <c r="F23" s="10" t="inlineStr"/>
    </row>
    <row r="24">
      <c r="A24" s="8" t="inlineStr"/>
      <c r="B24" s="8" t="inlineStr"/>
      <c r="C24" s="8" t="n">
        <v>126</v>
      </c>
      <c r="D24" s="8" t="inlineStr">
        <is>
          <t>Salary Package List</t>
        </is>
      </c>
      <c r="E24" s="8" t="inlineStr">
        <is>
          <t>lst_salary_package.php</t>
        </is>
      </c>
      <c r="F24" s="8" t="inlineStr"/>
    </row>
    <row r="25">
      <c r="A25" s="10" t="inlineStr"/>
      <c r="B25" s="10" t="inlineStr"/>
      <c r="C25" s="10" t="n">
        <v>127</v>
      </c>
      <c r="D25" s="10" t="inlineStr">
        <is>
          <t>Employee Salary Setting</t>
        </is>
      </c>
      <c r="E25" s="10" t="inlineStr">
        <is>
          <t>employee_salary.php</t>
        </is>
      </c>
      <c r="F25" s="10" t="inlineStr"/>
    </row>
    <row r="26">
      <c r="A26" s="8" t="inlineStr"/>
      <c r="B26" s="8" t="inlineStr"/>
      <c r="C26" s="8" t="n">
        <v>56</v>
      </c>
      <c r="D26" s="8" t="inlineStr">
        <is>
          <t>Employee Advance</t>
        </is>
      </c>
      <c r="E26" s="8" t="inlineStr">
        <is>
          <t>employee_advance.php</t>
        </is>
      </c>
      <c r="F26" s="8" t="inlineStr"/>
    </row>
    <row r="27">
      <c r="A27" s="10" t="inlineStr"/>
      <c r="B27" s="10" t="inlineStr"/>
      <c r="C27" s="10" t="n">
        <v>57</v>
      </c>
      <c r="D27" s="10" t="inlineStr">
        <is>
          <t>Employee Debit Note</t>
        </is>
      </c>
      <c r="E27" s="10" t="inlineStr">
        <is>
          <t>employee_debit_note.php</t>
        </is>
      </c>
      <c r="F27" s="10" t="inlineStr"/>
    </row>
    <row r="28">
      <c r="A28" s="8" t="inlineStr"/>
      <c r="B28" s="8" t="inlineStr"/>
      <c r="C28" s="8" t="n">
        <v>58</v>
      </c>
      <c r="D28" s="8" t="inlineStr">
        <is>
          <t>Shift Wise</t>
        </is>
      </c>
      <c r="E28" s="8" t="inlineStr">
        <is>
          <t>shift_wise.php</t>
        </is>
      </c>
      <c r="F28" s="8" t="inlineStr"/>
    </row>
    <row r="30">
      <c r="A30" s="8" t="n">
        <v>4</v>
      </c>
      <c r="B30" s="9" t="inlineStr">
        <is>
          <t>Item Masters</t>
        </is>
      </c>
      <c r="C30" s="8" t="n">
        <v>6</v>
      </c>
      <c r="D30" s="8" t="inlineStr">
        <is>
          <t>Principal</t>
        </is>
      </c>
      <c r="E30" s="8" t="inlineStr">
        <is>
          <t>mst_principal.php</t>
        </is>
      </c>
      <c r="F30" s="8" t="inlineStr">
        <is>
          <t>Phase 2 / 3</t>
        </is>
      </c>
    </row>
    <row r="31">
      <c r="A31" s="10" t="inlineStr"/>
      <c r="B31" s="10" t="inlineStr"/>
      <c r="C31" s="10" t="n">
        <v>7</v>
      </c>
      <c r="D31" s="10" t="inlineStr">
        <is>
          <t>Division</t>
        </is>
      </c>
      <c r="E31" s="10" t="inlineStr">
        <is>
          <t>mst_division.php</t>
        </is>
      </c>
      <c r="F31" s="10" t="inlineStr"/>
    </row>
    <row r="32">
      <c r="A32" s="8" t="inlineStr"/>
      <c r="B32" s="8" t="inlineStr"/>
      <c r="C32" s="8" t="n">
        <v>8</v>
      </c>
      <c r="D32" s="8" t="inlineStr">
        <is>
          <t>Category</t>
        </is>
      </c>
      <c r="E32" s="8" t="inlineStr">
        <is>
          <t>mst_category.php</t>
        </is>
      </c>
      <c r="F32" s="8" t="inlineStr"/>
    </row>
    <row r="33">
      <c r="A33" s="10" t="inlineStr"/>
      <c r="B33" s="10" t="inlineStr"/>
      <c r="C33" s="10" t="n">
        <v>9</v>
      </c>
      <c r="D33" s="10" t="inlineStr">
        <is>
          <t>Brand / Make</t>
        </is>
      </c>
      <c r="E33" s="10" t="inlineStr">
        <is>
          <t>mst_brand.php</t>
        </is>
      </c>
      <c r="F33" s="10" t="inlineStr"/>
    </row>
    <row r="34">
      <c r="A34" s="8" t="inlineStr"/>
      <c r="B34" s="8" t="inlineStr"/>
      <c r="C34" s="8" t="n">
        <v>10</v>
      </c>
      <c r="D34" s="8" t="inlineStr">
        <is>
          <t>Unit of Measurement (UOM)</t>
        </is>
      </c>
      <c r="E34" s="8" t="inlineStr">
        <is>
          <t>mst_uom.php</t>
        </is>
      </c>
      <c r="F34" s="8" t="inlineStr"/>
    </row>
    <row r="35">
      <c r="A35" s="10" t="inlineStr"/>
      <c r="B35" s="10" t="inlineStr"/>
      <c r="C35" s="10" t="n">
        <v>11</v>
      </c>
      <c r="D35" s="10" t="inlineStr">
        <is>
          <t>HSN</t>
        </is>
      </c>
      <c r="E35" s="10" t="inlineStr">
        <is>
          <t>mst_hsn.php</t>
        </is>
      </c>
      <c r="F35" s="10" t="inlineStr"/>
    </row>
    <row r="36">
      <c r="A36" s="8" t="inlineStr"/>
      <c r="B36" s="8" t="inlineStr"/>
      <c r="C36" s="8" t="n">
        <v>12</v>
      </c>
      <c r="D36" s="8" t="inlineStr">
        <is>
          <t>Color</t>
        </is>
      </c>
      <c r="E36" s="8" t="inlineStr">
        <is>
          <t>mst_color.php</t>
        </is>
      </c>
      <c r="F36" s="8" t="inlineStr"/>
    </row>
    <row r="37">
      <c r="A37" s="10" t="inlineStr"/>
      <c r="B37" s="10" t="inlineStr"/>
      <c r="C37" s="10" t="n">
        <v>13</v>
      </c>
      <c r="D37" s="10" t="inlineStr">
        <is>
          <t>Item Details</t>
        </is>
      </c>
      <c r="E37" s="10" t="inlineStr">
        <is>
          <t>lst_item_details.php</t>
        </is>
      </c>
      <c r="F37" s="10" t="inlineStr"/>
    </row>
    <row r="38">
      <c r="A38" s="8" t="inlineStr"/>
      <c r="B38" s="8" t="inlineStr"/>
      <c r="C38" s="8" t="n">
        <v>14</v>
      </c>
      <c r="D38" s="8" t="inlineStr">
        <is>
          <t>Item Grouping</t>
        </is>
      </c>
      <c r="E38" s="8" t="inlineStr">
        <is>
          <t>lst_item_grouping.php</t>
        </is>
      </c>
      <c r="F38" s="8" t="inlineStr"/>
    </row>
    <row r="39">
      <c r="A39" s="10" t="inlineStr"/>
      <c r="B39" s="10" t="inlineStr"/>
      <c r="C39" s="10" t="n">
        <v>15</v>
      </c>
      <c r="D39" s="10" t="inlineStr">
        <is>
          <t>Item Price History</t>
        </is>
      </c>
      <c r="E39" s="10" t="inlineStr">
        <is>
          <t>mst_itemprice_history_list.php</t>
        </is>
      </c>
      <c r="F39" s="10" t="inlineStr"/>
    </row>
    <row r="41">
      <c r="A41" s="8" t="n">
        <v>4</v>
      </c>
      <c r="B41" s="9" t="inlineStr">
        <is>
          <t>Attendance and Salary</t>
        </is>
      </c>
      <c r="C41" s="8" t="n">
        <v>51</v>
      </c>
      <c r="D41" s="8" t="inlineStr">
        <is>
          <t>Attendance Update</t>
        </is>
      </c>
      <c r="E41" s="8" t="inlineStr">
        <is>
          <t>import_attendance.php</t>
        </is>
      </c>
      <c r="F41" s="8" t="inlineStr">
        <is>
          <t>Phase 2 / 3</t>
        </is>
      </c>
    </row>
    <row r="42">
      <c r="A42" s="10" t="inlineStr"/>
      <c r="B42" s="10" t="inlineStr"/>
      <c r="C42" s="10" t="n">
        <v>52</v>
      </c>
      <c r="D42" s="10" t="inlineStr">
        <is>
          <t>Employee Salary Report - PF</t>
        </is>
      </c>
      <c r="E42" s="10" t="inlineStr">
        <is>
          <t>attendance_report_pf.php</t>
        </is>
      </c>
      <c r="F42" s="10" t="inlineStr"/>
    </row>
    <row r="43">
      <c r="A43" s="8" t="inlineStr"/>
      <c r="B43" s="8" t="inlineStr"/>
      <c r="C43" s="8" t="n">
        <v>53</v>
      </c>
      <c r="D43" s="8" t="inlineStr">
        <is>
          <t>Employee Salary Report - WPF</t>
        </is>
      </c>
      <c r="E43" s="8" t="inlineStr">
        <is>
          <t>attendance_report_withoutpf.php</t>
        </is>
      </c>
      <c r="F43" s="8" t="inlineStr"/>
    </row>
    <row r="44">
      <c r="A44" s="10" t="inlineStr"/>
      <c r="B44" s="10" t="inlineStr"/>
      <c r="C44" s="10" t="n">
        <v>54</v>
      </c>
      <c r="D44" s="10" t="inlineStr">
        <is>
          <t>Employee Salary Report - OT</t>
        </is>
      </c>
      <c r="E44" s="10" t="inlineStr">
        <is>
          <t>attendance_report_ot.php</t>
        </is>
      </c>
      <c r="F44" s="10" t="inlineStr"/>
    </row>
    <row r="45">
      <c r="A45" s="8" t="inlineStr"/>
      <c r="B45" s="8" t="inlineStr"/>
      <c r="C45" s="8" t="n">
        <v>55</v>
      </c>
      <c r="D45" s="8" t="inlineStr">
        <is>
          <t>Employee Salary Report - EPF</t>
        </is>
      </c>
      <c r="E45" s="8" t="inlineStr">
        <is>
          <t>attendance_report_epf.php</t>
        </is>
      </c>
      <c r="F45" s="8" t="inlineStr"/>
    </row>
    <row r="47">
      <c r="A47" s="8" t="n">
        <v>5</v>
      </c>
      <c r="B47" s="9" t="inlineStr">
        <is>
          <t>Sales</t>
        </is>
      </c>
      <c r="C47" s="8" t="n">
        <v>104</v>
      </c>
      <c r="D47" s="8" t="inlineStr">
        <is>
          <t>Quotation List</t>
        </is>
      </c>
      <c r="E47" s="8" t="inlineStr">
        <is>
          <t>lst_quotation.php</t>
        </is>
      </c>
      <c r="F47" s="8" t="inlineStr">
        <is>
          <t>Phase 2 / 3</t>
        </is>
      </c>
    </row>
    <row r="48">
      <c r="A48" s="10" t="inlineStr"/>
      <c r="B48" s="10" t="inlineStr"/>
      <c r="C48" s="10" t="n">
        <v>105</v>
      </c>
      <c r="D48" s="10" t="inlineStr">
        <is>
          <t>Sales Order List</t>
        </is>
      </c>
      <c r="E48" s="10" t="inlineStr">
        <is>
          <t>lst_sales_order.php</t>
        </is>
      </c>
      <c r="F48" s="10" t="inlineStr"/>
    </row>
    <row r="50">
      <c r="A50" s="8" t="n">
        <v>6</v>
      </c>
      <c r="B50" s="9" t="inlineStr">
        <is>
          <t>Purchase</t>
        </is>
      </c>
      <c r="C50" s="8" t="n">
        <v>16</v>
      </c>
      <c r="D50" s="8" t="inlineStr">
        <is>
          <t>Direct Purchase Order</t>
        </is>
      </c>
      <c r="E50" s="8" t="inlineStr">
        <is>
          <t>lst_direct_po.php</t>
        </is>
      </c>
      <c r="F50" s="8" t="inlineStr">
        <is>
          <t>Phase 2 / 3</t>
        </is>
      </c>
    </row>
    <row r="51">
      <c r="A51" s="10" t="inlineStr"/>
      <c r="B51" s="10" t="inlineStr"/>
      <c r="C51" s="10" t="n">
        <v>114</v>
      </c>
      <c r="D51" s="10" t="inlineStr">
        <is>
          <t>Prepare Purchase Order</t>
        </is>
      </c>
      <c r="E51" s="10" t="inlineStr">
        <is>
          <t>po_prepare_list.php</t>
        </is>
      </c>
      <c r="F51" s="10" t="inlineStr"/>
    </row>
    <row r="53">
      <c r="A53" s="8" t="n">
        <v>7</v>
      </c>
      <c r="B53" s="9" t="inlineStr">
        <is>
          <t>Stores</t>
        </is>
      </c>
      <c r="C53" s="8" t="n">
        <v>17</v>
      </c>
      <c r="D53" s="8" t="inlineStr">
        <is>
          <t>GRN</t>
        </is>
      </c>
      <c r="E53" s="8" t="inlineStr">
        <is>
          <t>grn_list.php</t>
        </is>
      </c>
      <c r="F53" s="8" t="inlineStr">
        <is>
          <t>Phase 2 / 3</t>
        </is>
      </c>
    </row>
    <row r="54">
      <c r="A54" s="10" t="inlineStr"/>
      <c r="B54" s="10" t="inlineStr"/>
      <c r="C54" s="10" t="n">
        <v>113</v>
      </c>
      <c r="D54" s="10" t="inlineStr">
        <is>
          <t>DC List</t>
        </is>
      </c>
      <c r="E54" s="10" t="inlineStr">
        <is>
          <t>dc_list.php</t>
        </is>
      </c>
      <c r="F54" s="10" t="inlineStr"/>
    </row>
    <row r="55">
      <c r="A55" s="8" t="inlineStr"/>
      <c r="B55" s="8" t="inlineStr"/>
      <c r="C55" s="8" t="n">
        <v>100</v>
      </c>
      <c r="D55" s="8" t="inlineStr">
        <is>
          <t>Purchase Return List</t>
        </is>
      </c>
      <c r="E55" s="8" t="inlineStr">
        <is>
          <t>purchase_return_list.php</t>
        </is>
      </c>
      <c r="F55" s="8" t="inlineStr"/>
    </row>
    <row r="56">
      <c r="A56" s="10" t="inlineStr"/>
      <c r="B56" s="10" t="inlineStr"/>
      <c r="C56" s="10" t="n">
        <v>115</v>
      </c>
      <c r="D56" s="10" t="inlineStr">
        <is>
          <t>Store Indent List</t>
        </is>
      </c>
      <c r="E56" s="10" t="inlineStr">
        <is>
          <t>store_indent_list.php</t>
        </is>
      </c>
      <c r="F56" s="10" t="inlineStr"/>
    </row>
    <row r="58">
      <c r="A58" s="8" t="n">
        <v>8</v>
      </c>
      <c r="B58" s="9" t="inlineStr">
        <is>
          <t>Accounts</t>
        </is>
      </c>
      <c r="C58" s="8" t="n">
        <v>18</v>
      </c>
      <c r="D58" s="8" t="inlineStr">
        <is>
          <t>Invoice List</t>
        </is>
      </c>
      <c r="E58" s="8" t="inlineStr">
        <is>
          <t>invoice_list.php</t>
        </is>
      </c>
      <c r="F58" s="8" t="inlineStr">
        <is>
          <t>Phase 2 / 3</t>
        </is>
      </c>
    </row>
    <row r="59">
      <c r="A59" s="10" t="inlineStr"/>
      <c r="B59" s="10" t="inlineStr"/>
      <c r="C59" s="10" t="n">
        <v>106</v>
      </c>
      <c r="D59" s="10" t="inlineStr">
        <is>
          <t>Sales Order in Accounts</t>
        </is>
      </c>
      <c r="E59" s="10" t="inlineStr">
        <is>
          <t>lst_sales_receipt.php</t>
        </is>
      </c>
      <c r="F59" s="10" t="inlineStr"/>
    </row>
    <row r="60">
      <c r="A60" s="8" t="inlineStr"/>
      <c r="B60" s="8" t="inlineStr"/>
      <c r="C60" s="8" t="n">
        <v>59</v>
      </c>
      <c r="D60" s="8" t="inlineStr">
        <is>
          <t>GRN Payment in Accounts</t>
        </is>
      </c>
      <c r="E60" s="8" t="inlineStr">
        <is>
          <t>grn_payment_details.php</t>
        </is>
      </c>
      <c r="F60" s="8" t="inlineStr"/>
    </row>
    <row r="62">
      <c r="A62" s="8" t="n">
        <v>9</v>
      </c>
      <c r="B62" s="9" t="inlineStr">
        <is>
          <t>Report</t>
        </is>
      </c>
      <c r="C62" s="8" t="n">
        <v>22</v>
      </c>
      <c r="D62" s="8" t="inlineStr">
        <is>
          <t>Stock</t>
        </is>
      </c>
      <c r="E62" s="8" t="inlineStr">
        <is>
          <t>store_stock_list.php</t>
        </is>
      </c>
      <c r="F62" s="8" t="inlineStr">
        <is>
          <t>Phase 2 / 3</t>
        </is>
      </c>
    </row>
    <row r="63">
      <c r="A63" s="10" t="inlineStr"/>
      <c r="B63" s="10" t="inlineStr"/>
      <c r="C63" s="10" t="n">
        <v>102</v>
      </c>
      <c r="D63" s="10" t="inlineStr">
        <is>
          <t>Current Stock</t>
        </is>
      </c>
      <c r="E63" s="10" t="inlineStr">
        <is>
          <t>rpt_store_stock_list.php</t>
        </is>
      </c>
      <c r="F63" s="10" t="inlineStr"/>
    </row>
    <row r="64">
      <c r="A64" s="8" t="inlineStr"/>
      <c r="B64" s="8" t="inlineStr"/>
      <c r="C64" s="8" t="n">
        <v>109</v>
      </c>
      <c r="D64" s="8" t="inlineStr">
        <is>
          <t>All Current Stock</t>
        </is>
      </c>
      <c r="E64" s="8" t="inlineStr">
        <is>
          <t>rpt_all_store_stock_list.php</t>
        </is>
      </c>
      <c r="F64" s="8" t="inlineStr"/>
    </row>
    <row r="65">
      <c r="A65" s="10" t="inlineStr"/>
      <c r="B65" s="10" t="inlineStr"/>
      <c r="C65" s="10" t="n">
        <v>110</v>
      </c>
      <c r="D65" s="10" t="inlineStr">
        <is>
          <t>Branch Wise Current Stock</t>
        </is>
      </c>
      <c r="E65" s="10" t="inlineStr">
        <is>
          <t>rpt_branch_wise_stock.php</t>
        </is>
      </c>
      <c r="F65" s="10" t="inlineStr"/>
    </row>
    <row r="66">
      <c r="A66" s="8" t="inlineStr"/>
      <c r="B66" s="8" t="inlineStr"/>
      <c r="C66" s="8" t="n">
        <v>111</v>
      </c>
      <c r="D66" s="8" t="inlineStr">
        <is>
          <t>Item Stock History</t>
        </is>
      </c>
      <c r="E66" s="8" t="inlineStr">
        <is>
          <t>rpt-item-stock-history.php</t>
        </is>
      </c>
      <c r="F66" s="8" t="inlineStr"/>
    </row>
    <row r="67">
      <c r="A67" s="10" t="inlineStr"/>
      <c r="B67" s="10" t="inlineStr"/>
      <c r="C67" s="10" t="n">
        <v>112</v>
      </c>
      <c r="D67" s="10" t="inlineStr">
        <is>
          <t>Branch Wise Item Stock History</t>
        </is>
      </c>
      <c r="E67" s="10" t="inlineStr">
        <is>
          <t>rpt_item_stock_history_branch_wise.php</t>
        </is>
      </c>
      <c r="F67" s="10" t="inlineStr"/>
    </row>
    <row r="68">
      <c r="A68" s="8" t="inlineStr"/>
      <c r="B68" s="8" t="inlineStr"/>
      <c r="C68" s="8" t="n">
        <v>119</v>
      </c>
      <c r="D68" s="8" t="inlineStr">
        <is>
          <t>Cost Work Sheet</t>
        </is>
      </c>
      <c r="E68" s="8" t="inlineStr">
        <is>
          <t>rpt_cost_worksheet.php</t>
        </is>
      </c>
      <c r="F68" s="8" t="inlineStr"/>
    </row>
    <row r="69">
      <c r="A69" s="10" t="inlineStr"/>
      <c r="B69" s="10" t="inlineStr"/>
      <c r="C69" s="10" t="n">
        <v>103</v>
      </c>
      <c r="D69" s="10" t="inlineStr">
        <is>
          <t>Credit</t>
        </is>
      </c>
      <c r="E69" s="10" t="inlineStr">
        <is>
          <t>rpt_credit_list.php</t>
        </is>
      </c>
      <c r="F69" s="10" t="inlineStr"/>
    </row>
    <row r="70">
      <c r="A70" s="8" t="inlineStr"/>
      <c r="B70" s="8" t="inlineStr"/>
      <c r="C70" s="8" t="n">
        <v>137</v>
      </c>
      <c r="D70" s="8" t="inlineStr">
        <is>
          <t>Quotation Report</t>
        </is>
      </c>
      <c r="E70" s="8" t="inlineStr">
        <is>
          <t>quotation_branch_rept.php</t>
        </is>
      </c>
      <c r="F70" s="8" t="inlineStr"/>
    </row>
    <row r="71">
      <c r="A71" s="10" t="inlineStr"/>
      <c r="B71" s="10" t="inlineStr"/>
      <c r="C71" s="10" t="n">
        <v>23</v>
      </c>
      <c r="D71" s="10" t="inlineStr">
        <is>
          <t>Daily Sales</t>
        </is>
      </c>
      <c r="E71" s="10" t="inlineStr">
        <is>
          <t>rpt_sales_list.php</t>
        </is>
      </c>
      <c r="F71" s="10" t="inlineStr"/>
    </row>
    <row r="72">
      <c r="A72" s="8" t="inlineStr"/>
      <c r="B72" s="8" t="inlineStr"/>
      <c r="C72" s="8" t="n">
        <v>138</v>
      </c>
      <c r="D72" s="8" t="inlineStr">
        <is>
          <t>Invoice Report</t>
        </is>
      </c>
      <c r="E72" s="8" t="inlineStr">
        <is>
          <t>invoice_report.php</t>
        </is>
      </c>
      <c r="F72" s="8" t="inlineStr"/>
    </row>
    <row r="73">
      <c r="A73" s="10" t="inlineStr"/>
      <c r="B73" s="10" t="inlineStr"/>
      <c r="C73" s="10" t="n">
        <v>139</v>
      </c>
      <c r="D73" s="10" t="inlineStr">
        <is>
          <t>Sales Order Report</t>
        </is>
      </c>
      <c r="E73" s="10" t="inlineStr">
        <is>
          <t>rpt_sales_order.php</t>
        </is>
      </c>
      <c r="F73" s="10" t="inlineStr"/>
    </row>
    <row r="74">
      <c r="A74" s="8" t="inlineStr"/>
      <c r="B74" s="8" t="inlineStr"/>
      <c r="C74" s="8" t="n">
        <v>142</v>
      </c>
      <c r="D74" s="8" t="inlineStr">
        <is>
          <t>Sales Order Stock List</t>
        </is>
      </c>
      <c r="E74" s="8" t="inlineStr">
        <is>
          <t>rpt_so_stock_list_branchwise.php</t>
        </is>
      </c>
      <c r="F74" s="8" t="inlineStr"/>
    </row>
    <row r="75">
      <c r="A75" s="10" t="inlineStr"/>
      <c r="B75" s="10" t="inlineStr"/>
      <c r="C75" s="10" t="n">
        <v>145</v>
      </c>
      <c r="D75" s="10" t="inlineStr">
        <is>
          <t>Item Branch Vise Discount</t>
        </is>
      </c>
      <c r="E75" s="10" t="inlineStr">
        <is>
          <t>rpt_item_discount.php</t>
        </is>
      </c>
      <c r="F75" s="10" t="inlineStr"/>
    </row>
    <row r="77">
      <c r="A77" s="8" t="n">
        <v>10</v>
      </c>
      <c r="B77" s="9" t="inlineStr">
        <is>
          <t>Service</t>
        </is>
      </c>
      <c r="C77" s="8" t="n">
        <v>143</v>
      </c>
      <c r="D77" s="8" t="inlineStr">
        <is>
          <t>Spare Mapping</t>
        </is>
      </c>
      <c r="E77" s="8" t="inlineStr">
        <is>
          <t>spare_mapping_list.php</t>
        </is>
      </c>
      <c r="F77" s="8" t="inlineStr">
        <is>
          <t>Phase 2 / 3</t>
        </is>
      </c>
    </row>
    <row r="78">
      <c r="A78" s="10" t="inlineStr"/>
      <c r="B78" s="10" t="inlineStr"/>
      <c r="C78" s="10" t="n">
        <v>144</v>
      </c>
      <c r="D78" s="10" t="inlineStr">
        <is>
          <t>Repair Indent</t>
        </is>
      </c>
      <c r="E78" s="10" t="inlineStr">
        <is>
          <t>repair_indent_list.php</t>
        </is>
      </c>
      <c r="F78" s="10" t="inlineStr"/>
    </row>
  </sheetData>
  <autoFilter ref="A5:F79"/>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J8"/>
  <sheetViews>
    <sheetView showGridLines="0" workbookViewId="0">
      <pane ySplit="4" topLeftCell="A5" activePane="bottomLeft" state="frozen"/>
      <selection pane="bottomLeft" activeCell="A1" sqref="A1"/>
    </sheetView>
  </sheetViews>
  <sheetFormatPr baseColWidth="8" defaultRowHeight="15"/>
  <cols>
    <col width="6" customWidth="1" min="1" max="1"/>
    <col width="26" customWidth="1" min="2" max="2"/>
    <col width="30" customWidth="1" min="3" max="3"/>
    <col width="15" customWidth="1" min="4" max="4"/>
    <col width="46" customWidth="1" min="5" max="5"/>
    <col width="34" customWidth="1" min="6" max="6"/>
    <col width="54" customWidth="1" min="7" max="7"/>
    <col width="62" customWidth="1" min="8" max="8"/>
    <col width="48" customWidth="1" min="9" max="9"/>
    <col width="46" customWidth="1" min="10" max="10"/>
  </cols>
  <sheetData>
    <row r="1" ht="22" customHeight="1">
      <c r="A1" s="1" t="inlineStr">
        <is>
          <t>Menu 1  ·  Settings  (mm_id = 1)</t>
        </is>
      </c>
    </row>
    <row r="2" ht="16" customHeight="1">
      <c r="A2" s="2" t="inlineStr">
        <is>
          <t>3 screens, and they decide everything else: who may log in, which branches exist, and which suppliers get an automatic discount. Administrators only. A fourth item, Bank Account Details, appears in the menu but has no file behind it.</t>
        </is>
      </c>
    </row>
    <row r="3" ht="6" customHeight="1"/>
    <row r="5" ht="30" customHeight="1">
      <c r="A5" s="7" t="inlineStr">
        <is>
          <t>#</t>
        </is>
      </c>
      <c r="B5" s="7" t="inlineStr">
        <is>
          <t>Sub-menu (form)</t>
        </is>
      </c>
      <c r="C5" s="7" t="inlineStr">
        <is>
          <t>PHP file(s)</t>
        </is>
      </c>
      <c r="D5" s="7" t="inlineStr">
        <is>
          <t>Type</t>
        </is>
      </c>
      <c r="E5" s="7" t="inlineStr">
        <is>
          <t>What it does (short)</t>
        </is>
      </c>
      <c r="F5" s="7" t="inlineStr">
        <is>
          <t>Tables used</t>
        </is>
      </c>
      <c r="G5" s="7" t="inlineStr">
        <is>
          <t>What changes in the tables</t>
        </is>
      </c>
      <c r="H5" s="7" t="inlineStr">
        <is>
          <t>Full flow</t>
        </is>
      </c>
      <c r="I5" s="7" t="inlineStr">
        <is>
          <t>Where it reflects</t>
        </is>
      </c>
      <c r="J5" s="7" t="inlineStr">
        <is>
          <t>Key notes / traps</t>
        </is>
      </c>
    </row>
    <row r="6" ht="109.0384615384615" customHeight="1">
      <c r="A6" s="8" t="inlineStr">
        <is>
          <t>1.1</t>
        </is>
      </c>
      <c r="B6" s="11" t="inlineStr">
        <is>
          <t>User</t>
        </is>
      </c>
      <c r="C6" s="8" t="inlineStr">
        <is>
          <t>mst_user.php (list) &gt; mst_users_add.php (add/edit) &gt; mst_users_rights.php (screen rights)</t>
        </is>
      </c>
      <c r="D6" s="8" t="inlineStr">
        <is>
          <t>Master + permissions</t>
        </is>
      </c>
      <c r="E6" s="8" t="inlineStr">
        <is>
          <t>Every person who can log in. Name, email, mobile, login, password, photo, the BRANCH they work in, and whether they are an administrator. Rights are ticked on a second screen.</t>
        </is>
      </c>
      <c r="F6" s="8" t="inlineStr">
        <is>
          <t>tbl_user (RW)
tbl_user_rights (RW - hard delete)
mst_main_menu (R)
mst_sub_menu (R)
mst_branch (R)</t>
        </is>
      </c>
      <c r="G6" s="8" t="inlineStr">
        <is>
          <t>INSERT tbl_user - built by CIS_InsertRecord from the whole $_REQUEST, so the input name IS the column. usr_logpwd hashed; pw_hint holds the SAME password in clear.
UPDATE tbl_user on edit (photo kept if none re-uploaded).
RIGHTS SAVE: DELETE FROM tbl_user_rights WHERE usr_id = &lt;user&gt; - a HARD delete of every row - then INSERT one row per ticked screen (usr_id, mm_id, sm_id).
DELETE: UPDATE tbl_user SET usr_status = 0. Rights rows are left behind.</t>
        </is>
      </c>
      <c r="H6" s="8" t="inlineStr">
        <is>
          <t>1. Settings &gt; User - active users only (usr_status = 1).
2. Add New opens mst_users_add.php.
3. Name, email, mobile, login name, password; pick BRANCH and USER TYPE; optional photo.
4. Save - first checks no other ACTIVE user has that email ('User details already exist').
5. Password hashed as md5(password + fixed salt); photo written to project_img/usr_photo/.
6. From the list, the rights icon opens mst_users_rights.php - every menu and screen as tick boxes, pre-ticked from tbl_user_rights.
7. Tick / untick, Update. The sidebar changes on their next page load.</t>
        </is>
      </c>
      <c r="I6" s="8" t="inlineStr">
        <is>
          <t>The user's own sidebar (rebuilt from tbl_user_rights on every page load); the login screen; created_by / modify_by on everything they touch; every branch-aware screen, which reads their branch_id from the session to pick the right item columns.</t>
        </is>
      </c>
      <c r="J6" s="8" t="inlineStr">
        <is>
          <t>pw_hint stores the password IN CLEAR - anyone who can read tbl_user reads every password. The hash is md5 with one shared salt: also weak.
Rights are REBUILT, not amended: save deletes all rows first, so saving a half-loaded page silently strips rights.
Uniqueness is checked on EMAIL ONLY - two users can share a usr_logname.
usr_type = 'A' bypasses tbl_user_rights entirely.</t>
        </is>
      </c>
    </row>
    <row r="7" ht="144.0384615384615" customHeight="1">
      <c r="A7" s="10" t="inlineStr">
        <is>
          <t>1.2</t>
        </is>
      </c>
      <c r="B7" s="12" t="inlineStr">
        <is>
          <t>Branch</t>
        </is>
      </c>
      <c r="C7" s="10" t="inlineStr">
        <is>
          <t>mst_branch.php (list + form in one file)</t>
        </is>
      </c>
      <c r="D7" s="10" t="inlineStr">
        <is>
          <t>Master - THE key table</t>
        </is>
      </c>
      <c r="E7" s="10" t="inlineStr">
        <is>
          <t>The three branches (HO, Kerala, Rajapalayam) with their letterhead - address, phones, email, GST, PAN. AND, far more importantly, the NAMES OF THE COLUMNS in tbl_item_stock that belong to each branch.</t>
        </is>
      </c>
      <c r="F7" s="10" t="inlineStr">
        <is>
          <t>mst_branch (RW)
tbl_item_stock (not touched here, but every stored column name points into it)</t>
        </is>
      </c>
      <c r="G7" s="10" t="inlineStr">
        <is>
          <t>INSERT mst_branch (branch_name, branch_code, branch_state_code, company_address, created_by, created_dtm) - EVERY column-name field is left EMPTY.
UPDATE mst_branch - the same four fields plus modify_by, modify_dtm.
DELETE: UPDATE branch_status = 0.</t>
        </is>
      </c>
      <c r="H7" s="10" t="inlineStr">
        <is>
          <t>1. Settings &gt; Branch - three rows.
2. Add New or the pencil opens the same page with the form filled.
3. The form asks for only FOUR things: branch name, branch code, state code, address.
4. Save / Update. That is all the screen writes.
5. The letterhead fields and all fifty column-name fields are NOT on this form - they were loaded when the database was built and are edited directly in the database.</t>
        </is>
      </c>
      <c r="I7" s="10" t="inlineStr">
        <is>
          <t>The top of every print (quotation, sales order, PO, GRN, invoice) reads the logged-in user's branch row for the letterhead; the branch dropdown on the user screen; EVERY stock figure in the system, indirectly - screens read branch_stock_field and build their SQL around whatever column name they find.</t>
        </is>
      </c>
      <c r="J7" s="10" t="inlineStr">
        <is>
          <t>ADDING A BRANCH HERE WILL NOT WORK. Four fields are saved and fifty column-name fields left empty, so the new branch has no stock column, no price column, no location columns. Adding one properly means ALTER TABLE tbl_item_stock plus setting all fifty names by hand. The repo still has the ALTER script that added Rajapalayam.
RAJAPALAYAM'S TAX DETAILS LOOK WRONG: branch_state_code 33 (Tamil Nadu) but company_state_code 32 and Kerala's GST number - copied from the Kerala row. The state code decides CGST/SGST vs IGST.
Key fields: branch_stock_field (ho_stock / kl_stock / rjpm_stock), branch_stock_location_rack_field, branch_stock_location_row_field, branch_item_* (current pricing), branch_new_* (proposed), branch_old_* (superseded) - 13 each.</t>
        </is>
      </c>
    </row>
    <row r="8" ht="64" customHeight="1">
      <c r="A8" s="8" t="inlineStr">
        <is>
          <t>1.3</t>
        </is>
      </c>
      <c r="B8" s="11" t="inlineStr">
        <is>
          <t>Common Settings</t>
        </is>
      </c>
      <c r="C8" s="8" t="inlineStr">
        <is>
          <t>mst_common_settings.php</t>
        </is>
      </c>
      <c r="D8" s="8" t="inlineStr">
        <is>
          <t>Switch board</t>
        </is>
      </c>
      <c r="E8" s="8" t="inlineStr">
        <is>
          <t>One question: for which suppliers should the item discount be applied automatically? Every approved supplier gets a tick box. Ticked, and picking their item on a quotation or invoice brings the discount in by itself.</t>
        </is>
      </c>
      <c r="F8" s="8" t="inlineStr">
        <is>
          <t>mst_supplier_new (RW - the discount_apply flag only)</t>
        </is>
      </c>
      <c r="G8" s="8" t="inlineStr">
        <is>
          <t>UPDATE mst_supplier_new SET discount_apply = 0 WHERE supp_type = 'S' AND supp_status = 1 - CLEARS THE FLAG ON EVERY ACTIVE SUPPLIER, always, first.
UPDATE mst_supplier_new SET discount_apply = 1 WHERE supp_id IN (...) - only the ones you ticked.</t>
        </is>
      </c>
      <c r="H8" s="8" t="inlineStr">
        <is>
          <t>1. Settings &gt; Common Settings - every active supplier listed with a tick box, pre-ticked from discount_apply.
2. Tick and untick.
3. Update - clear-all runs first, then the ticked ones are set.
4. Live immediately: the next item picked on a quotation behaves the new way.</t>
        </is>
      </c>
      <c r="I8" s="8" t="inlineStr">
        <is>
          <t>Quotation and Invoice - the discount fills in by itself for a ticked supplier's items; inc/cis_ajax/jquery_select_item.php returns the flag alongside the item so the screen knows whether to apply it.</t>
        </is>
      </c>
      <c r="J8" s="8" t="inlineStr">
        <is>
          <t>THERE IS NO mst_common_settings TABLE. Despite the name this is only another way of editing one column on mst_supplier_new.
UNTICK EVERYTHING AND UPDATE = automatic discounts off for the whole company, because the clear-all statement always runs first. Only suppliers visible and ticked at the moment you press Update keep the flag.</t>
        </is>
      </c>
    </row>
  </sheetData>
  <autoFilter ref="A5:J8"/>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J14"/>
  <sheetViews>
    <sheetView showGridLines="0" workbookViewId="0">
      <pane ySplit="4" topLeftCell="A5" activePane="bottomLeft" state="frozen"/>
      <selection pane="bottomLeft" activeCell="A1" sqref="A1"/>
    </sheetView>
  </sheetViews>
  <sheetFormatPr baseColWidth="8" defaultRowHeight="15"/>
  <cols>
    <col width="6" customWidth="1" min="1" max="1"/>
    <col width="26" customWidth="1" min="2" max="2"/>
    <col width="30" customWidth="1" min="3" max="3"/>
    <col width="15" customWidth="1" min="4" max="4"/>
    <col width="46" customWidth="1" min="5" max="5"/>
    <col width="34" customWidth="1" min="6" max="6"/>
    <col width="54" customWidth="1" min="7" max="7"/>
    <col width="62" customWidth="1" min="8" max="8"/>
    <col width="48" customWidth="1" min="9" max="9"/>
    <col width="46" customWidth="1" min="10" max="10"/>
  </cols>
  <sheetData>
    <row r="1" ht="22" customHeight="1">
      <c r="A1" s="1" t="inlineStr">
        <is>
          <t>Menu 2  ·  Masters  (mm_id = 2)</t>
        </is>
      </c>
    </row>
    <row r="2" ht="16" customHeight="1">
      <c r="A2" s="2" t="inlineStr">
        <is>
          <t>9 screens. Fill in order: State &gt; District &gt; City, then Department &gt; Designation, then Customers and Suppliers. Month Master is not a lookup - it is the payroll calendar, and payroll stops without it.</t>
        </is>
      </c>
    </row>
    <row r="3" ht="6" customHeight="1"/>
    <row r="5" ht="30" customHeight="1">
      <c r="A5" s="7" t="inlineStr">
        <is>
          <t>#</t>
        </is>
      </c>
      <c r="B5" s="7" t="inlineStr">
        <is>
          <t>Sub-menu (form)</t>
        </is>
      </c>
      <c r="C5" s="7" t="inlineStr">
        <is>
          <t>PHP file(s)</t>
        </is>
      </c>
      <c r="D5" s="7" t="inlineStr">
        <is>
          <t>Type</t>
        </is>
      </c>
      <c r="E5" s="7" t="inlineStr">
        <is>
          <t>What it does (short)</t>
        </is>
      </c>
      <c r="F5" s="7" t="inlineStr">
        <is>
          <t>Tables used</t>
        </is>
      </c>
      <c r="G5" s="7" t="inlineStr">
        <is>
          <t>What changes in the tables</t>
        </is>
      </c>
      <c r="H5" s="7" t="inlineStr">
        <is>
          <t>Full flow</t>
        </is>
      </c>
      <c r="I5" s="7" t="inlineStr">
        <is>
          <t>Where it reflects</t>
        </is>
      </c>
      <c r="J5" s="7" t="inlineStr">
        <is>
          <t>Key notes / traps</t>
        </is>
      </c>
    </row>
    <row r="6" ht="133.2692307692308" customHeight="1">
      <c r="A6" s="8" t="inlineStr">
        <is>
          <t>2.1</t>
        </is>
      </c>
      <c r="B6" s="11" t="inlineStr">
        <is>
          <t>Customers</t>
        </is>
      </c>
      <c r="C6" s="8" t="inlineStr">
        <is>
          <t>lst_customers.php (list) &gt; mst_customer_new.php (add/edit) &gt; inc/datatable/ajaxCustomerList.php (rows) &gt; inc/cis_ajax/modal_supplier_dets.php (view)</t>
        </is>
      </c>
      <c r="D6" s="8" t="inlineStr">
        <is>
          <t>Master + child rows</t>
        </is>
      </c>
      <c r="E6" s="8" t="inlineStr">
        <is>
          <t>Companies you sell to. Main address, delivery address, bank details, GST and PAN - plus any number of BRANCHES (separate delivery points, each with its own contact and address). Saving also creates the customer's accounts ledger.</t>
        </is>
      </c>
      <c r="F6" s="8" t="inlineStr">
        <is>
          <t>mst_supplier_new (W, supp_type = 'C')
mst_ledger (W - FIRST)
mst_accounts_group (R)
mst_customer_branch (RW)
mst_customer_branch_temp (W - session staging)
mst_state / mst_district / mst_city (R)</t>
        </is>
      </c>
      <c r="G6" s="8" t="inlineStr">
        <is>
          <t>INSERT mst_ledger FIRST (group_id, ledger_name, ledger_type from group_type, open_bal, open_bal_type) -&gt; capture ledger_id.
INSERT mst_supplier_new with supp_type = 'C', supp_code = 'C' + lpad(MAX(supp_id)+1, 4), ledger_id.
DELETE FROM mst_customer_branch WHERE supp_id = &lt;new id&gt; - so the copy cannot double up.
INSERT mst_customer_branch - one row per staged branch, now under the real supp_id.
DELETE FROM mst_customer_branch_temp WHERE session_id = &lt;yours&gt;.
EDIT: UPDATE mst_ledger + UPDATE mst_supplier_new together.
DELETE: UPDATE supp_status = 0. THE LEDGER IS LEFT ALONE.</t>
        </is>
      </c>
      <c r="H6" s="8" t="inlineStr">
        <is>
          <t>1. Masters &gt; Customers - active customers with their branches listed beside them.
2. Add New opens mst_customer_new.php.
3. Company details, then the main address: State -&gt; District -&gt; City, each dropdown reloading from the one above.
4. Delivery address and bank details. Tick URP for an unregistered customer and the screen puts the literal text 'URP' into both GST and PAN.
5. Choose the ACCOUNTS GROUP for the ledger, plus opening balance and its Dr/Cr side.
6. Add branches - each goes straight into mst_customer_branch_temp against your session, not attached to the customer yet.
7. Save - ledger, then code, then customer, then the staged branches copied across and the staging cleared.</t>
        </is>
      </c>
      <c r="I6" s="8" t="inlineStr">
        <is>
          <t>Quotation, Sales Order and Invoice - the customer dropdown and the branch dropdown under it; Delivery Challan - the delivery address comes from the chosen customer branch; Sales Receipt and every accounts report, through ledger_id; Credit List and the sales reports.</t>
        </is>
      </c>
      <c r="J6" s="8" t="inlineStr">
        <is>
          <t>THE CODE IS NOT SAFE FOR TWO PEOPLE AT ONCE: it is MAX(supp_id)+1 computed BEFORE the insert, and the column is not unique, so simultaneous saves get the same code.
Customer and supplier codes SHARE one counter - the maximum is over the whole table, not over supp_type = 'C'.
supp_code and supp_id can drift apart; trust supp_id for identity.
The customer list is NOT filtered by branch - every branch sees every customer (unlike suppliers).</t>
        </is>
      </c>
    </row>
    <row r="7" ht="117.5" customHeight="1">
      <c r="A7" s="10" t="inlineStr">
        <is>
          <t>2.2</t>
        </is>
      </c>
      <c r="B7" s="12" t="inlineStr">
        <is>
          <t>Supplier</t>
        </is>
      </c>
      <c r="C7" s="10" t="inlineStr">
        <is>
          <t>lst_supplier.php (list) &gt; mst_supplier_new.php (add/edit) &gt; mst_supplier_approve.php (approve) &gt; inc/datatable/ajaxSupplierList.php</t>
        </is>
      </c>
      <c r="D7" s="10" t="inlineStr">
        <is>
          <t>Master + approval</t>
        </is>
      </c>
      <c r="E7" s="10" t="inlineStr">
        <is>
          <t>Companies you buy from. The customer form's twin plus CREDIT DAYS and PAYMENT MODE - and an approval step: a new supplier is unapproved, and purchase screens will not offer them until someone confirms.</t>
        </is>
      </c>
      <c r="F7" s="10" t="inlineStr">
        <is>
          <t>mst_supplier_new (RW, supp_type = 'S')
mst_ledger (W - FIRST)
mst_accounts_group (R)
mst_finyear (R - goes into the code)
mst_branch (R - goes into the code)
mst_state / mst_district / mst_city (R)</t>
        </is>
      </c>
      <c r="G7" s="10" t="inlineStr">
        <is>
          <t>INSERT mst_ledger FIRST -&gt; capture ledger_id.
INSERT mst_supplier_new: supp_type = 'S', company_branch_id = YOUR branch, supp_credit_days, supp_pay_mode, ledger_id, and supp_code = 'S/0042/BIE/HO/2025-26'. supp_approve_status stays 0.
EDIT: UPDATE mst_ledger + UPDATE mst_supplier_new (code never changes).
APPROVE: UPDATE mst_supplier_new SET supp_approve_status = 1, supp_approve_by = &lt;usr_id&gt;, supp_approve_dt = NOW.
COMMON SETTINGS: UPDATE discount_apply.
DELETE: UPDATE supp_status = 0.</t>
        </is>
      </c>
      <c r="H7" s="10" t="inlineStr">
        <is>
          <t>1. Masters &gt; Supplier - the list shows an approved / not-approved column.
2. Add New opens mst_supplier_new.php. Company, address, bank, GST, PAN, plus credit days and payment mode.
3. Accounts group and opening balance for the ledger.
4. Save - ledger first, then the code, then the supplier stamped with YOUR branch as company_branch_id.
5. From the list, open the approve action - mst_supplier_approve.php shows the supplier read-only with an Approve button.
6. Approve - supp_approve_status becomes 1, with your user id and the timestamp.
7. The supplier now appears in the Purchase Order and GRN dropdowns.</t>
        </is>
      </c>
      <c r="I7" s="10" t="inlineStr">
        <is>
          <t>Purchase Order and Direct PO - approved suppliers only; GRN (and the credit days that set the due date); GRN Payment Details, through the ledger; Item Details - a supplier can be linked to an item as its source; Common Settings tick list; Cost Worksheet and purchase reports.</t>
        </is>
      </c>
      <c r="J7" s="10" t="inlineStr">
        <is>
          <t>WHO SEES WHICH SUPPLIERS: user id 1 OR anyone whose branch is Head Office sees everything; every other branch sees only suppliers with their own company_branch_id. A Kerala buyer genuinely cannot see a Rajapalayam supplier.
APPROVAL IS ONE CLICK WITH NO SECOND PAIR OF EYES - the person who added the supplier can approve them, and editing an approved supplier (bank details included) does NOT reset the approval.
On edit the ledger is updated with the ledger_id POSTED BY THE FORM, not the one read back from the supplier row (the code fetches the right one and then does not use it).</t>
        </is>
      </c>
    </row>
    <row r="8" ht="64" customHeight="1">
      <c r="A8" s="8" t="inlineStr">
        <is>
          <t>2.3</t>
        </is>
      </c>
      <c r="B8" s="11" t="inlineStr">
        <is>
          <t>Box Type</t>
        </is>
      </c>
      <c r="C8" s="8" t="inlineStr">
        <is>
          <t>mst_boxtype.php</t>
        </is>
      </c>
      <c r="D8" s="8" t="inlineStr">
        <is>
          <t>Lookup</t>
        </is>
      </c>
      <c r="E8" s="8" t="inlineStr">
        <is>
          <t>The kinds of packing box a delivery challan can be packed into - Corrugated Box, Wooden Box and so on.</t>
        </is>
      </c>
      <c r="F8" s="8" t="inlineStr">
        <is>
          <t>tbl_dc_package_box (RW)</t>
        </is>
      </c>
      <c r="G8" s="8" t="inlineStr">
        <is>
          <t>INSERT tbl_dc_package_box (box_name); box_status defaults to 1.
UPDATE box_name on edit.
DELETE: UPDATE box_status = 0.</t>
        </is>
      </c>
      <c r="H8" s="8" t="inlineStr">
        <is>
          <t>1. Open the screen - live box types listed.
2. Type a name, Save.
3. The pencil loads the row back into the same form.
4. It now appears in the Delivery Challan packing section.</t>
        </is>
      </c>
      <c r="I8" s="8" t="inlineStr">
        <is>
          <t>Delivery Challan - the packing section, where each box on the challan picks a type from here.</t>
        </is>
      </c>
      <c r="J8" s="8" t="inlineStr">
        <is>
          <t>Three columns only: box_id, box_name, box_status. Renaming changes the name shown on old challans too, because the challan stores the id and looks the name up at print time.</t>
        </is>
      </c>
    </row>
    <row r="9" ht="64" customHeight="1">
      <c r="A9" s="10" t="inlineStr">
        <is>
          <t>2.4</t>
        </is>
      </c>
      <c r="B9" s="12" t="inlineStr">
        <is>
          <t>State</t>
        </is>
      </c>
      <c r="C9" s="10" t="inlineStr">
        <is>
          <t>mst_state.php</t>
        </is>
      </c>
      <c r="D9" s="10" t="inlineStr">
        <is>
          <t>Lookup (address level 1)</t>
        </is>
      </c>
      <c r="E9" s="10" t="inlineStr">
        <is>
          <t>The states, with their GST state codes. Top of the three-level address list, and the source of the code that decides CGST+SGST versus IGST.</t>
        </is>
      </c>
      <c r="F9" s="10" t="inlineStr">
        <is>
          <t>mst_state (RW)</t>
        </is>
      </c>
      <c r="G9" s="10" t="inlineStr">
        <is>
          <t>INSERT mst_state (state_name, state_shname, state_code, country_id).
UPDATE all on edit.
DELETE: UPDATE state_status = 0.</t>
        </is>
      </c>
      <c r="H9" s="10" t="inlineStr">
        <is>
          <t>1. Open - live states listed.
2. Enter name, short name and the GST state code, Save.
3. The pencil loads the row for correction.
4. It now appears in the first dropdown of every address block.</t>
        </is>
      </c>
      <c r="I9" s="10" t="inlineStr">
        <is>
          <t>Every address block in the system - customer, supplier, employee, delivery. Also the tax calculation on quotations and invoices. Feeds the District screen.</t>
        </is>
      </c>
      <c r="J9" s="10" t="inlineStr">
        <is>
          <t>Changing a state_code RETROSPECTIVELY changes how old invoices reprint, because the print reads it live rather than storing it on the invoice. Verify once at setup, then leave alone.</t>
        </is>
      </c>
    </row>
    <row r="10" ht="64" customHeight="1">
      <c r="A10" s="8" t="inlineStr">
        <is>
          <t>2.5</t>
        </is>
      </c>
      <c r="B10" s="11" t="inlineStr">
        <is>
          <t>District</t>
        </is>
      </c>
      <c r="C10" s="8" t="inlineStr">
        <is>
          <t>mst_district.php</t>
        </is>
      </c>
      <c r="D10" s="8" t="inlineStr">
        <is>
          <t>Lookup (address level 2)</t>
        </is>
      </c>
      <c r="E10" s="8" t="inlineStr">
        <is>
          <t>Districts, each belonging to one state. The middle level.</t>
        </is>
      </c>
      <c r="F10" s="8" t="inlineStr">
        <is>
          <t>mst_district (RW)
mst_state (R)</t>
        </is>
      </c>
      <c r="G10" s="8" t="inlineStr">
        <is>
          <t>INSERT mst_district (district_name, state_id, country_id).
UPDATE name and state on edit.
DELETE: UPDATE district_status = 0.</t>
        </is>
      </c>
      <c r="H10" s="8" t="inlineStr">
        <is>
          <t>1. Open - live districts listed with their state.
2. Choose State, type District, Save.
3. Edit can rename it or move it to another state.
4. It now appears whenever that state is chosen in an address block.</t>
        </is>
      </c>
      <c r="I10" s="8" t="inlineStr">
        <is>
          <t>The District dropdown on every address block, reloaded whenever the State above it changes. Feeds the City screen.</t>
        </is>
      </c>
      <c r="J10" s="8" t="inlineStr">
        <is>
          <t>No financial effect - addressing and territory reporting only.</t>
        </is>
      </c>
    </row>
    <row r="11" ht="64" customHeight="1">
      <c r="A11" s="10" t="inlineStr">
        <is>
          <t>2.6</t>
        </is>
      </c>
      <c r="B11" s="12" t="inlineStr">
        <is>
          <t>City</t>
        </is>
      </c>
      <c r="C11" s="10" t="inlineStr">
        <is>
          <t>mst_city.php</t>
        </is>
      </c>
      <c r="D11" s="10" t="inlineStr">
        <is>
          <t>Lookup (address level 3)</t>
        </is>
      </c>
      <c r="E11" s="10" t="inlineStr">
        <is>
          <t>Cities, each belonging to one district. The bottom level.</t>
        </is>
      </c>
      <c r="F11" s="10" t="inlineStr">
        <is>
          <t>mst_city (RW)
mst_district (R)
mst_state (R)</t>
        </is>
      </c>
      <c r="G11" s="10" t="inlineStr">
        <is>
          <t>INSERT mst_city (city_name, district_id, state_id, country_id).
UPDATE on edit.
DELETE: UPDATE city_status = 0.</t>
        </is>
      </c>
      <c r="H11" s="10" t="inlineStr">
        <is>
          <t>1. Open - live cities listed with their district.
2. Choose District, type City, Save.
3. In an address block, choosing a district calls inc/cis_ajax/jquery_select_city.php to refill this dropdown.</t>
        </is>
      </c>
      <c r="I11" s="10" t="inlineStr">
        <is>
          <t>The City dropdown on every address block.</t>
        </is>
      </c>
      <c r="J11" s="10" t="inlineStr">
        <is>
          <t>A soft-deleted city disappears from new dropdowns but stays on old documents (the document stored the id and the print reads it back without checking status). Editing a customer pointed at a deleted city shows the box empty, and saving blanks it. Prefer renaming to deleting.</t>
        </is>
      </c>
    </row>
    <row r="12" ht="64" customHeight="1">
      <c r="A12" s="8" t="inlineStr">
        <is>
          <t>2.7</t>
        </is>
      </c>
      <c r="B12" s="11" t="inlineStr">
        <is>
          <t>Department</t>
        </is>
      </c>
      <c r="C12" s="8" t="inlineStr">
        <is>
          <t>mst_department.php</t>
        </is>
      </c>
      <c r="D12" s="8" t="inlineStr">
        <is>
          <t>Lookup</t>
        </is>
      </c>
      <c r="E12" s="8" t="inlineStr">
        <is>
          <t>The departments employees belong to. Top of the two-level org structure.</t>
        </is>
      </c>
      <c r="F12" s="8" t="inlineStr">
        <is>
          <t>mst_department (RW)</t>
        </is>
      </c>
      <c r="G12" s="8" t="inlineStr">
        <is>
          <t>INSERT mst_department (department_name, created_by, created_dtm).
UPDATE on edit.
DELETE: UPDATE rec_del_status = 0.</t>
        </is>
      </c>
      <c r="H12" s="8" t="inlineStr">
        <is>
          <t>1. Open - live departments listed.
2. Type the name, Save.
3. Edit loads it back for renaming.
4. Now selectable in the Employee form and as a filter on the staff and labour lists.</t>
        </is>
      </c>
      <c r="I12" s="8" t="inlineStr">
        <is>
          <t>Employee - the Department dropdown; Designation - designations hang off a department; salary and attendance reports group by it.</t>
        </is>
      </c>
      <c r="J12" s="8" t="inlineStr">
        <is>
          <t>Status column is rec_del_status, not department_status - the naming differs from the address tables.
Soft delete leaves employees pointing at it; they show a blank department. Move them first.</t>
        </is>
      </c>
    </row>
    <row r="13" ht="64" customHeight="1">
      <c r="A13" s="10" t="inlineStr">
        <is>
          <t>2.8</t>
        </is>
      </c>
      <c r="B13" s="12" t="inlineStr">
        <is>
          <t>Designation</t>
        </is>
      </c>
      <c r="C13" s="10" t="inlineStr">
        <is>
          <t>mst_designation.php</t>
        </is>
      </c>
      <c r="D13" s="10" t="inlineStr">
        <is>
          <t>Lookup (child of Department)</t>
        </is>
      </c>
      <c r="E13" s="10" t="inlineStr">
        <is>
          <t>Job titles. Each one belongs to ONE department, so the Designation dropdown on the employee form only shows titles for the department already chosen.</t>
        </is>
      </c>
      <c r="F13" s="10" t="inlineStr">
        <is>
          <t>mst_designation (RW)
mst_department (R)</t>
        </is>
      </c>
      <c r="G13" s="10" t="inlineStr">
        <is>
          <t>INSERT mst_designation (department_id, designation_name, created_by, created_dtm).
UPDATE both on edit - it can be moved to another department.
DELETE: UPDATE rec_del_status = 0.</t>
        </is>
      </c>
      <c r="H13" s="10" t="inlineStr">
        <is>
          <t>1. Open - live designations with their department.
2. Choose Department, type Designation, Save.
3. Edit lets you rename or re-parent.
4. On the Employee form, choosing a department filters this dropdown.</t>
        </is>
      </c>
      <c r="I13" s="10" t="inlineStr">
        <is>
          <t>Employee - the Designation dropdown; printed on salary documents; the staff and labour list columns.</t>
        </is>
      </c>
      <c r="J13" s="10" t="inlineStr">
        <is>
          <t>The same title in two departments is two different ids, so reports grouping by id show them separately.</t>
        </is>
      </c>
    </row>
    <row r="14" ht="96.92307692307692" customHeight="1">
      <c r="A14" s="8" t="inlineStr">
        <is>
          <t>2.9</t>
        </is>
      </c>
      <c r="B14" s="11" t="inlineStr">
        <is>
          <t>Month Master</t>
        </is>
      </c>
      <c r="C14" s="8" t="inlineStr">
        <is>
          <t>mst_month_master.php (list) &gt; mst_month_master_add.php (add/edit)</t>
        </is>
      </c>
      <c r="D14" s="8" t="inlineStr">
        <is>
          <t>Setup - THE PAYROLL CALENDAR</t>
        </is>
      </c>
      <c r="E14" s="8" t="inlineStr">
        <is>
          <t>One row per month: total days, WORKING DAYS, holidays and function holidays. The working-days figure is the divisor payroll uses. A month with no row, or the wrong count, gives every salary for that month the wrong value.</t>
        </is>
      </c>
      <c r="F14" s="8" t="inlineStr">
        <is>
          <t>tbl_month_master (RW)</t>
        </is>
      </c>
      <c r="G14" s="8" t="inlineStr">
        <is>
          <t>INSERT tbl_month_master (month, year, total_days, working_days, holidays, function_holidays, created_by, created_dtm).
UPDATE the same figures plus modify_by, modify_dtm.
DELETE: UPDATE month_master_status = 0.</t>
        </is>
      </c>
      <c r="H14" s="8" t="inlineStr">
        <is>
          <t>1. Masters &gt; Month Master - month name and year, newest first.
2. New Month opens mst_month_master_add.php.
3. Pick month and year, enter total days, working days, holidays, function holidays.
4. Save - first checks no ACTIVE row already exists for that month and year, so September 2025 cannot be entered twice.
5. Edit works the same, excluding the row being edited from the duplicate check.</t>
        </is>
      </c>
      <c r="I14" s="8" t="inlineStr">
        <is>
          <t>All four attendance reports (PF, Without PF, OT, EPF) read this row for the month you pick; Employee Salary - the per-day rate is the monthly salary divided by working_days; the month dropdown on the attendance screens is built from these rows.</t>
        </is>
      </c>
      <c r="J14" s="8" t="inlineStr">
        <is>
          <t>NO ROW, NO SALARY. The attendance screens list only the months that exist here, so forgetting next month silently BLOCKS payroll rather than warning anyone.
CHANGING working_days AFTER salaries are calculated CHANGES PAST FIGURES - the reports recalculate from this row every time they open; nothing is frozen.
month is stored as a NUMBER 1-12; the list turns it into a name.
total_days, holidays and function_holidays are stored but do not drive the pay calculation, and nothing checks that they add up.</t>
        </is>
      </c>
    </row>
  </sheetData>
  <autoFilter ref="A5:J14"/>
  <pageMargins left="0.3" right="0.3" top="0.4" bottom="0.4"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14"/>
  <sheetViews>
    <sheetView showGridLines="0" workbookViewId="0">
      <pane ySplit="4" topLeftCell="A5" activePane="bottomLeft" state="frozen"/>
      <selection pane="bottomLeft" activeCell="A1" sqref="A1"/>
    </sheetView>
  </sheetViews>
  <sheetFormatPr baseColWidth="8" defaultRowHeight="15"/>
  <cols>
    <col width="6" customWidth="1" min="1" max="1"/>
    <col width="26" customWidth="1" min="2" max="2"/>
    <col width="30" customWidth="1" min="3" max="3"/>
    <col width="15" customWidth="1" min="4" max="4"/>
    <col width="46" customWidth="1" min="5" max="5"/>
    <col width="34" customWidth="1" min="6" max="6"/>
    <col width="54" customWidth="1" min="7" max="7"/>
    <col width="62" customWidth="1" min="8" max="8"/>
    <col width="48" customWidth="1" min="9" max="9"/>
    <col width="46" customWidth="1" min="10" max="10"/>
  </cols>
  <sheetData>
    <row r="1" ht="22" customHeight="1">
      <c r="A1" s="1" t="inlineStr">
        <is>
          <t>Menu 3  ·  HR Management  (mm_id = 23)</t>
        </is>
      </c>
    </row>
    <row r="2" ht="16" customHeight="1">
      <c r="A2" s="2" t="inlineStr">
        <is>
          <t>9 screens. Setup: Labour Master, Salary Package, Shift Wise. Per person: the Employee form, which alone writes five tables. Ongoing: advances and debit notes, both of which post to the central journal.</t>
        </is>
      </c>
    </row>
    <row r="3" ht="6" customHeight="1"/>
    <row r="5" ht="30" customHeight="1">
      <c r="A5" s="7" t="inlineStr">
        <is>
          <t>#</t>
        </is>
      </c>
      <c r="B5" s="7" t="inlineStr">
        <is>
          <t>Sub-menu (form)</t>
        </is>
      </c>
      <c r="C5" s="7" t="inlineStr">
        <is>
          <t>PHP file(s)</t>
        </is>
      </c>
      <c r="D5" s="7" t="inlineStr">
        <is>
          <t>Type</t>
        </is>
      </c>
      <c r="E5" s="7" t="inlineStr">
        <is>
          <t>What it does (short)</t>
        </is>
      </c>
      <c r="F5" s="7" t="inlineStr">
        <is>
          <t>Tables used</t>
        </is>
      </c>
      <c r="G5" s="7" t="inlineStr">
        <is>
          <t>What changes in the tables</t>
        </is>
      </c>
      <c r="H5" s="7" t="inlineStr">
        <is>
          <t>Full flow</t>
        </is>
      </c>
      <c r="I5" s="7" t="inlineStr">
        <is>
          <t>Where it reflects</t>
        </is>
      </c>
      <c r="J5" s="7" t="inlineStr">
        <is>
          <t>Key notes / traps</t>
        </is>
      </c>
    </row>
    <row r="6" ht="192.3076923076923" customHeight="1">
      <c r="A6" s="8" t="inlineStr">
        <is>
          <t>3.1</t>
        </is>
      </c>
      <c r="B6" s="11" t="inlineStr">
        <is>
          <t>Employee</t>
        </is>
      </c>
      <c r="C6" s="8" t="inlineStr">
        <is>
          <t>mst_employee_add.php (2,500 lines - list, add and edit) &gt; inc/cis_ajax/jquery_select_emp_code.php (the code) &gt; inc/cis_ajax/jquery_modal_employee_det.php (view)</t>
        </is>
      </c>
      <c r="D6" s="8" t="inlineStr">
        <is>
          <t>Master - THE LARGEST FORM IN BIE</t>
        </is>
      </c>
      <c r="E6" s="8" t="inlineStr">
        <is>
          <t>Everything about one person: name, father's/husband's name, DOB, blood group, photo, both addresses, bank account, PAN, Aadhaar, marital and family details, joining date, EPF and UAN, nominee, scanned proofs. It also creates their accounts LEDGER, optionally their LOGIN, and records the ASSETS issued to them and their CERTIFICATES.</t>
        </is>
      </c>
      <c r="F6" s="8" t="inlineStr">
        <is>
          <t>mst_employee (RW)
mst_ledger (W - FIRST)
mst_accounts_group (R)
tbl_user (W - a login, if ticked)
tbl_asset_details (RW)
mst_employee_certificate (RW - Staff only)
mst_department / mst_designation (R)
mst_labour (R)
mst_branch (R)
mst_state / mst_district / mst_city (R - twice)</t>
        </is>
      </c>
      <c r="G6" s="8" t="inlineStr">
        <is>
          <t>INSERT mst_ledger FIRST -&gt; capture ledger_id.
INSERT mst_employee - one row, ~65 columns, including branch_id, emp_code, emp_slno, emp_type, ledger_id, emp_advance_bal, created_by, created_dtm.
INSERT tbl_asset_details - one row per asset. ON EDIT every existing row for this employee is DELETED first, then re-inserted.
INSERT mst_employee_certificate - one per certificate, ONLY when emp_type = 1 (Staff). Also delete-then-reinsert on edit.
INSERT tbl_user - a login when login access is ticked (usr_logname, hashed usr_logpwd, branch_id, emp_id).
EDIT: UPDATE mst_employee + mst_ledger + tbl_user together.
DELETE: UPDATE mst_employee SET rec_del_status = 0 via jquery_delete_records_hr.php. THE LEDGER AND THE LOGIN STAY ACTIVE.</t>
        </is>
      </c>
      <c r="H6" s="8" t="inlineStr">
        <is>
          <t>1. HR Management &gt; Employee, or reach the form from the Staff or Labour list.
2. Choose EMPLOYEE TYPE first - Staff (1), Labour (2) or Others (3). Sections appear and disappear as you do.
3. Choose BRANCH and employment status (Temporary / Permanent). The screen then calls jquery_select_emp_code.php and fills in the read-only EMPLOYEE CODE.
4. Personal details, current address, permanent address - or tick copy address.
5. Bank details, PAN, Aadhaar, uploaded proofs (each renamed using the employee code, stored under project_img/).
6. Joining date, EPF and UAN, nominee, credit days, pay mode.
7. Accounts group and opening balance for the ledger.
8. ASSETS issued - asset, issue date, quantity, value; for a SIM, the number and its limit. CERTIFICATES if Staff.
9. Tick LOGIN ACCESS and give a login name and password if they need to sign in.
10. Save - ledger, employee, assets, certificates, login, in that order.
11. You land on the Staff list, the Labour list, or lst_employee.php, by type.</t>
        </is>
      </c>
      <c r="I6" s="8" t="inlineStr">
        <is>
          <t>Labour list and Staff list (the same rows split by type); Employee Salary (CTC); Employee Advance and Employee Debit Note; Import Attendance - punches are matched by bio_id; all four attendance and salary reports; Accounts - Day Book, Ledger Book, Trial Balance via ledger_id; Settings &gt; User - the login created here appears there too.</t>
        </is>
      </c>
      <c r="J6" s="8" t="inlineStr">
        <is>
          <t>DELETING AN EMPLOYEE DOES NOT DISABLE THEIR LOGIN - rec_del_status goes to 0 but tbl_user.usr_status stays 1 and they can still sign in. Delete them in Settings &gt; User as well.
ASSETS AND CERTIFICATES ARE REBUILT ON EVERY EDIT (delete-all then re-insert). If the form does not post them back, they are gone. Check after any edit.
CERTIFICATES ARE STAFF-ONLY - the insert is guarded by emp_type == 1 and silently dropped for Labour or Others.
bio_id is the link to attendance, is free text, and has NO uniqueness check. Duplicates share punches; a missing one means the person never appears in an attendance report.
emp_type = 3 (Others) lands on lst_employee.php, which is not on any menu - those rows are effectively invisible.
emp_code = BIE / branch / type+status / serial, e.g. BIE/HO/SP/42 (S Staff, L Labour, O Others; T Temporary, P Permanent).
Same plain-text pw_hint problem as Settings &gt; User.</t>
        </is>
      </c>
    </row>
    <row r="7" ht="64" customHeight="1">
      <c r="A7" s="10" t="inlineStr">
        <is>
          <t>3.2</t>
        </is>
      </c>
      <c r="B7" s="12" t="inlineStr">
        <is>
          <t>Labour</t>
        </is>
      </c>
      <c r="C7" s="10" t="inlineStr">
        <is>
          <t>lst_labour.php + inc/datatable/ajaxLabourList.php</t>
        </is>
      </c>
      <c r="D7" s="10" t="inlineStr">
        <is>
          <t>List (filtered view)</t>
        </is>
      </c>
      <c r="E7" s="10" t="inlineStr">
        <is>
          <t>The employee list filtered to emp_type = 2. Nothing else differs from the Staff list.</t>
        </is>
      </c>
      <c r="F7" s="10" t="inlineStr">
        <is>
          <t>mst_employee (R)
mst_department (R)
mst_designation (R)</t>
        </is>
      </c>
      <c r="G7" s="10" t="inlineStr">
        <is>
          <t>Nothing of its own. Add and edit open the Employee form. The dustbin calls inc/cis_ajax/jquery_delete_records_hr.php to set rec_del_status = 0.</t>
        </is>
      </c>
      <c r="H7" s="10" t="inlineStr">
        <is>
          <t>1. HR Management &gt; Labour - active labour employees.
2. Narrow by branch or department; search matches name, code, mobile, department, designation.
3. The eye icon opens jquery_modal_employee_det.php - the full record read-only, in a modal, without leaving the list.
4. The pencil opens mst_employee_add.php for that person.</t>
        </is>
      </c>
      <c r="I7" s="10" t="inlineStr">
        <is>
          <t>Nothing writes from here. It is the way into the Employee form for labour.</t>
        </is>
      </c>
      <c r="J7" s="10" t="inlineStr">
        <is>
          <t>Branch visibility is the same as the supplier list: user id 1 or anyone at Head Office sees every branch; everyone else sees only their own.</t>
        </is>
      </c>
    </row>
    <row r="8" ht="64" customHeight="1">
      <c r="A8" s="8" t="inlineStr">
        <is>
          <t>3.3</t>
        </is>
      </c>
      <c r="B8" s="11" t="inlineStr">
        <is>
          <t>Staff</t>
        </is>
      </c>
      <c r="C8" s="8" t="inlineStr">
        <is>
          <t>lst_staff.php + inc/datatable/ajaxStaffList.php</t>
        </is>
      </c>
      <c r="D8" s="8" t="inlineStr">
        <is>
          <t>List (filtered view)</t>
        </is>
      </c>
      <c r="E8" s="8" t="inlineStr">
        <is>
          <t>The employee list filtered to emp_type = 1. Identical to the Labour list in every other way.</t>
        </is>
      </c>
      <c r="F8" s="8" t="inlineStr">
        <is>
          <t>mst_employee (R)
mst_department (R)
mst_designation (R)</t>
        </is>
      </c>
      <c r="G8" s="8" t="inlineStr">
        <is>
          <t>Nothing of its own - same delete endpoint as the Labour list.</t>
        </is>
      </c>
      <c r="H8" s="8" t="inlineStr">
        <is>
          <t>1. HR Management &gt; Staff - active staff.
2. Same filters, same search, same modal view, same edit route.</t>
        </is>
      </c>
      <c r="I8" s="8" t="inlineStr">
        <is>
          <t>Nothing writes from here.</t>
        </is>
      </c>
      <c r="J8" s="8" t="inlineStr">
        <is>
          <t>THERE IS NO THIRD LIST FOR emp_type = 3 (Others). Those rows exist in mst_employee but appear on neither list. If headcount looks low, count the emp_type = 3 rows.</t>
        </is>
      </c>
    </row>
    <row r="9" ht="64" customHeight="1">
      <c r="A9" s="10" t="inlineStr">
        <is>
          <t>3.4</t>
        </is>
      </c>
      <c r="B9" s="12" t="inlineStr">
        <is>
          <t>Labour Master</t>
        </is>
      </c>
      <c r="C9" s="10" t="inlineStr">
        <is>
          <t>mst_labour.php</t>
        </is>
      </c>
      <c r="D9" s="10" t="inlineStr">
        <is>
          <t>Lookup</t>
        </is>
      </c>
      <c r="E9" s="10" t="inlineStr">
        <is>
          <t>The names of labour groups or contractors an employee can be attached to. One field.</t>
        </is>
      </c>
      <c r="F9" s="10" t="inlineStr">
        <is>
          <t>mst_labour (RW)</t>
        </is>
      </c>
      <c r="G9" s="10" t="inlineStr">
        <is>
          <t>INSERT mst_labour (labour_name, created_by, created_dtm).
UPDATE on edit.
DELETE: UPDATE rec_del_status = 0.</t>
        </is>
      </c>
      <c r="H9" s="10" t="inlineStr">
        <is>
          <t>1. Open - live labour groups listed.
2. Type the name, Save.
3. Edit loads it back.</t>
        </is>
      </c>
      <c r="I9" s="10" t="inlineStr">
        <is>
          <t>Employee - the Labour dropdown, shown when the employee type is Labour. Attendance and salary reports can be grouped by it.</t>
        </is>
      </c>
      <c r="J9" s="10" t="inlineStr">
        <is>
          <t>mst_labour still carries a company_id column left over from the Benzear codebase this one was forked from. BIE is organised by BRANCH, not company, and nothing reads it.</t>
        </is>
      </c>
    </row>
    <row r="10" ht="83.26923076923076" customHeight="1">
      <c r="A10" s="8" t="inlineStr">
        <is>
          <t>3.5</t>
        </is>
      </c>
      <c r="B10" s="11" t="inlineStr">
        <is>
          <t>Salary Package</t>
        </is>
      </c>
      <c r="C10" s="8" t="inlineStr">
        <is>
          <t>lst_salary_package.php (list) &gt; mst_salary_package_add.php (add/edit) &gt; inc/datatable/ajaxSalaryPackageList.php</t>
        </is>
      </c>
      <c r="D10" s="8" t="inlineStr">
        <is>
          <t>Master - pay structures</t>
        </is>
      </c>
      <c r="E10" s="8" t="inlineStr">
        <is>
          <t>A named breakdown of pay: basic, DA, HRA, conveyance, PF and CCA. Define it once, attach people to it. Either MONTHLY or DAILY, which changes what the figures mean.</t>
        </is>
      </c>
      <c r="F10" s="8" t="inlineStr">
        <is>
          <t>mst_salary_setting (RW)</t>
        </is>
      </c>
      <c r="G10" s="8" t="inlineStr">
        <is>
          <t>INSERT mst_salary_setting (sal_package_name, sal_type, sal_period, sal_basic, sal_da, sal_hra, sal_convey, sal_pf, sal_cca, created_by, created_dtm).
UPDATE the same plus modify_by, modify_dtm.
DELETE: UPDATE rec_del_status = 0.</t>
        </is>
      </c>
      <c r="H10" s="8" t="inlineStr">
        <is>
          <t>1. HR Management &gt; Salary Package - name, type and components.
2. Add New opens mst_salary_package_add.php.
3. Name it, choose Monthly (M) or Daily (D), set the period, enter the six amounts.
4. Save - one row, straight in.</t>
        </is>
      </c>
      <c r="I10" s="8" t="inlineStr">
        <is>
          <t>The salary package dropdown on the employee screens; Attendance Report (PF) and (Without PF) - the components come from here and are apportioned by days worked; EPF Report, through sal_pf.</t>
        </is>
      </c>
      <c r="J10" s="8" t="inlineStr">
        <is>
          <t>EVERY COMPONENT IS decimal(6,2) - the largest value that fits is 9999.99. A basic above ten thousand cannot be stored; MySQL refuses or silently clamps depending on strict mode, and nothing on the screen warns you.
EDITING A PACKAGE CHANGES PAY FOR EVERYBODY ON IT, INCLUDING PAST MONTHS - the reports read the current row each time they open; nothing is frozen at month end. To change one person's pay, move them to another package.</t>
        </is>
      </c>
    </row>
    <row r="11" ht="86.34615384615384" customHeight="1">
      <c r="A11" s="10" t="inlineStr">
        <is>
          <t>3.6</t>
        </is>
      </c>
      <c r="B11" s="12" t="inlineStr">
        <is>
          <t>Employee Salary</t>
        </is>
      </c>
      <c r="C11" s="10" t="inlineStr">
        <is>
          <t>employee_salary.php + inc/datatable/ajaxEmployeeSalarySet.php + modal_employee_det.php</t>
        </is>
      </c>
      <c r="D11" s="10" t="inlineStr">
        <is>
          <t>READ ONLY</t>
        </is>
      </c>
      <c r="E11" s="10" t="inlineStr">
        <is>
          <t>Every employee with their CTC, searchable and filterable by branch and employee type. Despite the name this is NOT where salary is set or run.</t>
        </is>
      </c>
      <c r="F11" s="10" t="inlineStr">
        <is>
          <t>mst_employee (R - emp_ctc)
mst_department (R)
mst_designation (R)</t>
        </is>
      </c>
      <c r="G11" s="10" t="inlineStr">
        <is>
          <t>NOTHING. This screen writes nothing at all.</t>
        </is>
      </c>
      <c r="H11" s="10" t="inlineStr">
        <is>
          <t>1. HR Management &gt; Employee Salary.
2. Search by employee name, code, mobile, department or designation; filter by branch and employee type.
3. One line per employee: code, name, department, designation, CTC.
4. The eye icon opens the full employee record in a modal.</t>
        </is>
      </c>
      <c r="I11" s="10" t="inlineStr">
        <is>
          <t>Nothing - it is a view.</t>
        </is>
      </c>
      <c r="J11" s="10" t="inlineStr">
        <is>
          <t>WHERE SALARY ACTUALLY HAPPENS: the figures come from the Salary Package attached to the employee, apportioned by the days in Month Master and the punches from Import Attendance; the four Attendance and Salary reports do the calculation.
emp_ctc is a column on mst_employee, but the Employee form does not offer it and this screen does not edit it - in the shipped code it is set directly in the database. If CTC shows zero for everyone, that is why.</t>
        </is>
      </c>
    </row>
    <row r="12" ht="132.6923076923077" customHeight="1">
      <c r="A12" s="8" t="inlineStr">
        <is>
          <t>3.7</t>
        </is>
      </c>
      <c r="B12" s="11" t="inlineStr">
        <is>
          <t>Employee Advance</t>
        </is>
      </c>
      <c r="C12" s="8" t="inlineStr">
        <is>
          <t>employee_advance.php (list) &gt; emp_advance_update.php (record) &gt; emp_advance_return_payment.php (recover) &gt; inc/datatable/ajaxEmployeeAdvance.php</t>
        </is>
      </c>
      <c r="D12" s="8" t="inlineStr">
        <is>
          <t>Transaction - posts to accounts</t>
        </is>
      </c>
      <c r="E12" s="8" t="inlineStr">
        <is>
          <t>Money paid to an employee ahead of salary. The list shows advanced, returned and balance per employee. Recording an advance posts a real accounts entry. RECOVERY IS NOT DONE HERE - it happens from the attendance reports, deducted from that month's net pay.</t>
        </is>
      </c>
      <c r="F12" s="8" t="inlineStr">
        <is>
          <t>tbl_emp_advance (RW)
tbl_emp_advance_return_payment (W)
tbl_accounts (W - THE CENTRAL JOURNAL)
mst_employee (R - and its ledger_id)
mst_finyear (R)</t>
        </is>
      </c>
      <c r="G12" s="8" t="inlineStr">
        <is>
          <t>INSERT tbl_emp_advance (emp_id, advance_slno = MAX+1 within pay_finyr, advance_date, advance_amount, balance_amount = the full amount, pay_finyr, ledger_id, pay mode and cheque fields, is_current = 1, advance_status = 1). chq_passed starts as 'NO' when pay_type = 'Q'.
INSERT tbl_accounts (voucher_type = 'Employee Advance', record_type = 'M', advance_id = the new row, dr_ledger_id = the EMPLOYEE'S ledger, cr_ledger_id = the cash/bank ledger).
RECOVERY: INSERT tbl_emp_advance_return_payment (with atten_month and atten_year); UPDATE tbl_emp_advance SET return_amount = return_amount + paid, balance_amount = balance_amount - paid, advance_status = 3; INSERT the reverse tbl_accounts row.</t>
        </is>
      </c>
      <c r="H12" s="8" t="inlineStr">
        <is>
          <t>1. HR Management &gt; Employee Advance - every employee with advanced / returned / balance.
2. Modify Advance opens emp_advance_update.php for that person.
3. Date, amount, payment mode (cash / cheque / card / transfer) with cheque number or reference, and a remark.
4. Save - the advance row, then the accounts entry.
5. TO RECOVER: go to the attendance report for the month, find the employee, use the Advance Deduction (+) link. That opens emp_advance_return_payment.php already knowing the month, the year and the net pay.
6. Enter how much to recover - instalment row, balance reduced, reverse accounts entry.</t>
        </is>
      </c>
      <c r="I12" s="8" t="inlineStr">
        <is>
          <t>Day Book, Ledger Book, Trial Balance via tbl_accounts; the employee's own ledger (a debit until recovered); Attendance Report (PF) and (Without PF) - the advance deduction column and the (+) link; this list, recalculated from tbl_emp_advance on every load.</t>
        </is>
      </c>
      <c r="J12" s="8" t="inlineStr">
        <is>
          <t>A PART-RECOVERY MARKS THE ADVANCE SETTLED: advance_status is set to 3 whatever the amount. Recovering 1,000 of 5,000 flags it done. The list still shows it (it does not filter on status) but the balance calculation inside emp_advance_update.php excludes status 3 - so the two disagree. TRUST balance_amount ON THE LIST.
NO WAY TO CORRECT OR CANCEL from the screen - the only action is Save, which adds another row and another journal entry.
chq_passed is set to 'NO' for a cheque and NEVER UPDATED - nothing marks a cheque cleared.</t>
        </is>
      </c>
    </row>
    <row r="13" ht="68.46153846153845" customHeight="1">
      <c r="A13" s="10" t="inlineStr">
        <is>
          <t>3.8</t>
        </is>
      </c>
      <c r="B13" s="12" t="inlineStr">
        <is>
          <t>Employee Debit Note</t>
        </is>
      </c>
      <c r="C13" s="10" t="inlineStr">
        <is>
          <t>employee_debit_note.php (list) &gt; emp_debit_note.php (raise) &gt; inc/datatable/ajaxEmployeeDebit.php</t>
        </is>
      </c>
      <c r="D13" s="10" t="inlineStr">
        <is>
          <t>Transaction - posts to accounts</t>
        </is>
      </c>
      <c r="E13" s="10" t="inlineStr">
        <is>
          <t>An amount charged AGAINST an employee: damage, shortfall, penalty, the cost of something lost. Structurally the mirror image of Employee Advance, and posts to accounts the same way. The difference is intent - an advance is lent, a debit note is owed.</t>
        </is>
      </c>
      <c r="F13" s="10" t="inlineStr">
        <is>
          <t>tbl_emp_debit_note (RW)
tbl_accounts (W)
mst_employee (R - and its ledger_id)
mst_finyear (R)</t>
        </is>
      </c>
      <c r="G13" s="10" t="inlineStr">
        <is>
          <t>INSERT tbl_emp_debit_note (emp_id, serial within pay_finyr, date, amount, balance_amount, pay_finyr, ledger_id, reason, is_current = 1, debit_status).
INSERT tbl_accounts - the double-entry row for the charge.
RECOVERY: UPDATE tbl_emp_debit_note SET return_amount up, balance_amount down.</t>
        </is>
      </c>
      <c r="H13" s="10" t="inlineStr">
        <is>
          <t>1. HR Management &gt; Employee Debit Note - every employee with debited / returned / balance.
2. Modify Debit opens emp_debit_note.php for that person.
3. Date, amount, reason and the ledger the charge goes against.
4. Save - the debit row and the matching accounts entry.
5. Recovery is handled from the attendance reports when the month's pay is calculated.</t>
        </is>
      </c>
      <c r="I13" s="10" t="inlineStr">
        <is>
          <t>Day Book, Ledger Book, Trial Balance; the employee's ledger; Attendance Report (PF) and (Without PF) - the deduction column; this list.</t>
        </is>
      </c>
      <c r="J13" s="10" t="inlineStr">
        <is>
          <t>THE SAME CAVEATS AS EMPLOYEE ADVANCE - the two screens share their code: a part-recovery can mark it settled (debit_status = 3), there is no cancel or correct, and the list and the entry screen can disagree.
A debit note is a real accounting charge, not a note to self - it hits the employee's ledger and the Trial Balance the moment you save.</t>
        </is>
      </c>
    </row>
    <row r="14" ht="157.8846153846154" customHeight="1">
      <c r="A14" s="8" t="inlineStr">
        <is>
          <t>3.9</t>
        </is>
      </c>
      <c r="B14" s="11" t="inlineStr">
        <is>
          <t>Shift Wise</t>
        </is>
      </c>
      <c r="C14" s="8" t="inlineStr">
        <is>
          <t>shift_wise.php (list) &gt; shift_wise_time_setting.php (edit the times)</t>
        </is>
      </c>
      <c r="D14" s="8" t="inlineStr">
        <is>
          <t>Setup - THE RULES ATTENDANCE IS JUDGED AGAINST</t>
        </is>
      </c>
      <c r="E14" s="8" t="inlineStr">
        <is>
          <t>Two shifts, DAY and NIGHT, and the exact clock times that define each. This is what turns a raw biometric punch into a present, a late or an overtime. Each shift carries SIX times: the official check-in and check-out plus a WINDOW around each - a punch outside the window is not counted as that shift at all.</t>
        </is>
      </c>
      <c r="F14" s="8" t="inlineStr">
        <is>
          <t>mst_shifts (RW - update only)</t>
        </is>
      </c>
      <c r="G14" s="8" t="inlineStr">
        <is>
          <t>UPDATE mst_shifts SET check_in, check_out, check_in_start, check_in_end, check_out_start, check_out_end, duration, work_day, is_nxtday_checkout WHERE shift_id = &lt;the one you edited&gt;. THAT IS THE ONLY WRITE THIS SCREEN MAKES - there is no insert and no delete.</t>
        </is>
      </c>
      <c r="H14" s="8" t="inlineStr">
        <is>
          <t>1. HR Management &gt; Shift Wise - two rows, DAY and NIGHT.
2. The pencil opens shift_wise_time_setting.php for that shift.
3. Adjust the official check-in and check-out, then the check-in window (check_in_start to check_in_end) and the check-out window (check_out_start to check_out_end).
4. Set duration in MINUTES - the length of a full shift - and whether check-out falls on the NEXT DAY.
5. Update. You cannot add or delete a shift here.</t>
        </is>
      </c>
      <c r="I14" s="8" t="inlineStr">
        <is>
          <t>Import Attendance - each punch is matched against these windows to decide which shift it belongs to and whether it counts; Attendance Report (PF) and (Without PF) - present, absent and half-day come out of this; OT Report - overtime is time worked beyond duration.</t>
        </is>
      </c>
      <c r="J14" s="8" t="inlineStr">
        <is>
          <t>THE WINDOWS ARE NARROW AND A PUNCH OUTSIDE THEM IS THROWN AWAY. DAY's check-in window closes at 09:05, so someone punching at 09:15 has NO check-in that day and shows ABSENT, not late. If a whole group shows absent on a day they worked, widen check_in_end and import again.
CHANGING THESE TIMES CHANGES ATTENDANCE ALREADY IMPORTED AND REPORTED - the reports re-derive everything from mst_shifts each run. Make changes at a month boundary and print anything you need first.
is_nxtday_checkout = 1 IS WHAT MAKES THE NIGHT SHIFT WORK - a 19:00 check-in pairs with a 07:00 check-out the next morning. Without it, twelve hours look like absence.
Shipped data: DAY 09:00-17:30, window 08:00-09:05 in and 17:30-23:00 out, duration 510. NIGHT 19:00-07:00, window 18:00-20:00 in and 06:00-08:00 out, duration 540, next-day flag 1.</t>
        </is>
      </c>
    </row>
  </sheetData>
  <autoFilter ref="A5:J14"/>
  <pageMargins left="0.3" right="0.3" top="0.4" bottom="0.4"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34"/>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8" customWidth="1" min="3" max="3"/>
    <col width="74" customWidth="1" min="4" max="4"/>
    <col width="40" customWidth="1" min="5" max="5"/>
  </cols>
  <sheetData>
    <row r="1" ht="22" customHeight="1">
      <c r="A1" s="1" t="inlineStr">
        <is>
          <t>Tables Reference - Phase 1</t>
        </is>
      </c>
    </row>
    <row r="2" ht="16" customHeight="1">
      <c r="A2" s="2" t="inlineStr">
        <is>
          <t>Every table touched so far. The system has 105 tables in total; the rest arrive with the later menus.</t>
        </is>
      </c>
    </row>
    <row r="3" ht="6" customHeight="1"/>
    <row r="5" ht="30" customHeight="1">
      <c r="A5" s="7" t="inlineStr">
        <is>
          <t>Table</t>
        </is>
      </c>
      <c r="B5" s="7" t="inlineStr">
        <is>
          <t>Kind</t>
        </is>
      </c>
      <c r="C5" s="7" t="inlineStr">
        <is>
          <t>Cols</t>
        </is>
      </c>
      <c r="D5" s="7" t="inlineStr">
        <is>
          <t>What it holds</t>
        </is>
      </c>
      <c r="E5" s="7" t="inlineStr">
        <is>
          <t>Used by</t>
        </is>
      </c>
    </row>
    <row r="6" ht="30" customHeight="1">
      <c r="A6" s="11" t="inlineStr">
        <is>
          <t>tbl_user</t>
        </is>
      </c>
      <c r="B6" s="8" t="inlineStr">
        <is>
          <t>master</t>
        </is>
      </c>
      <c r="C6" s="8" t="inlineStr">
        <is>
          <t>16</t>
        </is>
      </c>
      <c r="D6" s="8" t="inlineStr">
        <is>
          <t>Logins. usr_type 'A' = administrator (bypasses rights). branch_id fixes the branch. pw_hint holds the password IN CLEAR.</t>
        </is>
      </c>
      <c r="E6" s="8" t="inlineStr">
        <is>
          <t>1.1, 3.1</t>
        </is>
      </c>
    </row>
    <row r="7" ht="30" customHeight="1">
      <c r="A7" s="12" t="inlineStr">
        <is>
          <t>tbl_user_rights</t>
        </is>
      </c>
      <c r="B7" s="10" t="inlineStr">
        <is>
          <t>permissions</t>
        </is>
      </c>
      <c r="C7" s="10" t="inlineStr">
        <is>
          <t>4</t>
        </is>
      </c>
      <c r="D7" s="10" t="inlineStr">
        <is>
          <t>One row per permitted (user, menu, sub-menu). DRAWS THE SIDEBAR. The only HARD-deleted table in BIE.</t>
        </is>
      </c>
      <c r="E7" s="10" t="inlineStr">
        <is>
          <t>1.1, sidebar.php</t>
        </is>
      </c>
    </row>
    <row r="8" ht="16" customHeight="1">
      <c r="A8" s="11" t="inlineStr">
        <is>
          <t>mst_main_menu</t>
        </is>
      </c>
      <c r="B8" s="8" t="inlineStr">
        <is>
          <t>menu</t>
        </is>
      </c>
      <c r="C8" s="8" t="inlineStr">
        <is>
          <t>-</t>
        </is>
      </c>
      <c r="D8" s="8" t="inlineStr">
        <is>
          <t>Top-level menus. mm_show = 1 to appear, mm_index orders them.</t>
        </is>
      </c>
      <c r="E8" s="8" t="inlineStr">
        <is>
          <t>1.1, sidebar.php</t>
        </is>
      </c>
    </row>
    <row r="9" ht="30" customHeight="1">
      <c r="A9" s="12" t="inlineStr">
        <is>
          <t>mst_sub_menu</t>
        </is>
      </c>
      <c r="B9" s="10" t="inlineStr">
        <is>
          <t>menu</t>
        </is>
      </c>
      <c r="C9" s="10" t="inlineStr">
        <is>
          <t>-</t>
        </is>
      </c>
      <c r="D9" s="10" t="inlineStr">
        <is>
          <t>Sub-menu entries and the file each opens. sm_show = 1 required, or the item is hidden.</t>
        </is>
      </c>
      <c r="E9" s="10" t="inlineStr">
        <is>
          <t>1.1, sidebar.php</t>
        </is>
      </c>
    </row>
    <row r="10" ht="30" customHeight="1">
      <c r="A10" s="11" t="inlineStr">
        <is>
          <t>mst_branch</t>
        </is>
      </c>
      <c r="B10" s="8" t="inlineStr">
        <is>
          <t>master</t>
        </is>
      </c>
      <c r="C10" s="8" t="inlineStr">
        <is>
          <t>57</t>
        </is>
      </c>
      <c r="D10" s="8" t="inlineStr">
        <is>
          <t>THE KEY TABLE. Three branches, their letterhead, and FIFTY COLUMN NAMES pointing into tbl_item_stock.</t>
        </is>
      </c>
      <c r="E10" s="8" t="inlineStr">
        <is>
          <t>1.2, and indirectly every stock and pricing screen</t>
        </is>
      </c>
    </row>
    <row r="11" ht="30" customHeight="1">
      <c r="A11" s="12" t="inlineStr">
        <is>
          <t>mst_supplier_new</t>
        </is>
      </c>
      <c r="B11" s="10" t="inlineStr">
        <is>
          <t>master</t>
        </is>
      </c>
      <c r="C11" s="10" t="inlineStr">
        <is>
          <t>50</t>
        </is>
      </c>
      <c r="D11" s="10" t="inlineStr">
        <is>
          <t>CUSTOMERS AND SUPPLIERS TOGETHER. supp_type 'C' / 'S'. supp_approve_status gates purchase. discount_apply set from Common Settings.</t>
        </is>
      </c>
      <c r="E11" s="10" t="inlineStr">
        <is>
          <t>1.3, 2.1, 2.2</t>
        </is>
      </c>
    </row>
    <row r="12" ht="16" customHeight="1">
      <c r="A12" s="11" t="inlineStr">
        <is>
          <t>mst_customer_branch</t>
        </is>
      </c>
      <c r="B12" s="8" t="inlineStr">
        <is>
          <t>child</t>
        </is>
      </c>
      <c r="C12" s="8" t="inlineStr">
        <is>
          <t>11</t>
        </is>
      </c>
      <c r="D12" s="8" t="inlineStr">
        <is>
          <t>Delivery branches of a customer.</t>
        </is>
      </c>
      <c r="E12" s="8" t="inlineStr">
        <is>
          <t>2.1</t>
        </is>
      </c>
    </row>
    <row r="13" ht="16" customHeight="1">
      <c r="A13" s="12" t="inlineStr">
        <is>
          <t>mst_customer_branch_temp</t>
        </is>
      </c>
      <c r="B13" s="10" t="inlineStr">
        <is>
          <t>staging</t>
        </is>
      </c>
      <c r="C13" s="10" t="inlineStr">
        <is>
          <t>-</t>
        </is>
      </c>
      <c r="D13" s="10" t="inlineStr">
        <is>
          <t>Session-tagged branch rows while the customer form is open.</t>
        </is>
      </c>
      <c r="E13" s="10" t="inlineStr">
        <is>
          <t>2.1</t>
        </is>
      </c>
    </row>
    <row r="14" ht="30" customHeight="1">
      <c r="A14" s="11" t="inlineStr">
        <is>
          <t>mst_ledger</t>
        </is>
      </c>
      <c r="B14" s="8" t="inlineStr">
        <is>
          <t>master</t>
        </is>
      </c>
      <c r="C14" s="8" t="inlineStr">
        <is>
          <t>-</t>
        </is>
      </c>
      <c r="D14" s="8" t="inlineStr">
        <is>
          <t>Accounts ledgers. Auto-created for every customer, supplier and employee BEFORE the master row.</t>
        </is>
      </c>
      <c r="E14" s="8" t="inlineStr">
        <is>
          <t>2.1, 2.2, 3.1</t>
        </is>
      </c>
    </row>
    <row r="15" ht="16" customHeight="1">
      <c r="A15" s="12" t="inlineStr">
        <is>
          <t>mst_accounts_group</t>
        </is>
      </c>
      <c r="B15" s="10" t="inlineStr">
        <is>
          <t>master</t>
        </is>
      </c>
      <c r="C15" s="10" t="inlineStr">
        <is>
          <t>-</t>
        </is>
      </c>
      <c r="D15" s="10" t="inlineStr">
        <is>
          <t>Ledger groups; supplies ledger_type. Maintained in Accounts.</t>
        </is>
      </c>
      <c r="E15" s="10" t="inlineStr">
        <is>
          <t>2.1, 2.2, 3.1</t>
        </is>
      </c>
    </row>
    <row r="16" ht="16" customHeight="1">
      <c r="A16" s="11" t="inlineStr">
        <is>
          <t>tbl_dc_package_box</t>
        </is>
      </c>
      <c r="B16" s="8" t="inlineStr">
        <is>
          <t>lookup</t>
        </is>
      </c>
      <c r="C16" s="8" t="inlineStr">
        <is>
          <t>3</t>
        </is>
      </c>
      <c r="D16" s="8" t="inlineStr">
        <is>
          <t>Packing box types for delivery challans.</t>
        </is>
      </c>
      <c r="E16" s="8" t="inlineStr">
        <is>
          <t>2.3</t>
        </is>
      </c>
    </row>
    <row r="17" ht="16" customHeight="1">
      <c r="A17" s="12" t="inlineStr">
        <is>
          <t>mst_state</t>
        </is>
      </c>
      <c r="B17" s="10" t="inlineStr">
        <is>
          <t>lookup</t>
        </is>
      </c>
      <c r="C17" s="10" t="inlineStr">
        <is>
          <t>6</t>
        </is>
      </c>
      <c r="D17" s="10" t="inlineStr">
        <is>
          <t>States and GST state codes - drives CGST/SGST vs IGST.</t>
        </is>
      </c>
      <c r="E17" s="10" t="inlineStr">
        <is>
          <t>2.4</t>
        </is>
      </c>
    </row>
    <row r="18" ht="16" customHeight="1">
      <c r="A18" s="11" t="inlineStr">
        <is>
          <t>mst_district</t>
        </is>
      </c>
      <c r="B18" s="8" t="inlineStr">
        <is>
          <t>lookup</t>
        </is>
      </c>
      <c r="C18" s="8" t="inlineStr">
        <is>
          <t>5</t>
        </is>
      </c>
      <c r="D18" s="8" t="inlineStr">
        <is>
          <t>Districts within a state.</t>
        </is>
      </c>
      <c r="E18" s="8" t="inlineStr">
        <is>
          <t>2.5</t>
        </is>
      </c>
    </row>
    <row r="19" ht="16" customHeight="1">
      <c r="A19" s="12" t="inlineStr">
        <is>
          <t>mst_city</t>
        </is>
      </c>
      <c r="B19" s="10" t="inlineStr">
        <is>
          <t>lookup</t>
        </is>
      </c>
      <c r="C19" s="10" t="inlineStr">
        <is>
          <t>6</t>
        </is>
      </c>
      <c r="D19" s="10" t="inlineStr">
        <is>
          <t>Cities within a district.</t>
        </is>
      </c>
      <c r="E19" s="10" t="inlineStr">
        <is>
          <t>2.6</t>
        </is>
      </c>
    </row>
    <row r="20" ht="16" customHeight="1">
      <c r="A20" s="11" t="inlineStr">
        <is>
          <t>mst_department</t>
        </is>
      </c>
      <c r="B20" s="8" t="inlineStr">
        <is>
          <t>lookup</t>
        </is>
      </c>
      <c r="C20" s="8" t="inlineStr">
        <is>
          <t>9</t>
        </is>
      </c>
      <c r="D20" s="8" t="inlineStr">
        <is>
          <t>Departments. Status column is rec_del_status.</t>
        </is>
      </c>
      <c r="E20" s="8" t="inlineStr">
        <is>
          <t>2.7, 3.1</t>
        </is>
      </c>
    </row>
    <row r="21" ht="16" customHeight="1">
      <c r="A21" s="12" t="inlineStr">
        <is>
          <t>mst_designation</t>
        </is>
      </c>
      <c r="B21" s="10" t="inlineStr">
        <is>
          <t>lookup</t>
        </is>
      </c>
      <c r="C21" s="10" t="inlineStr">
        <is>
          <t>10</t>
        </is>
      </c>
      <c r="D21" s="10" t="inlineStr">
        <is>
          <t>Job titles within a department.</t>
        </is>
      </c>
      <c r="E21" s="10" t="inlineStr">
        <is>
          <t>2.8, 3.1</t>
        </is>
      </c>
    </row>
    <row r="22" ht="30" customHeight="1">
      <c r="A22" s="11" t="inlineStr">
        <is>
          <t>tbl_month_master</t>
        </is>
      </c>
      <c r="B22" s="8" t="inlineStr">
        <is>
          <t>setup</t>
        </is>
      </c>
      <c r="C22" s="8" t="inlineStr">
        <is>
          <t>12</t>
        </is>
      </c>
      <c r="D22" s="8" t="inlineStr">
        <is>
          <t>Per month: total days, WORKING DAYS, holidays, function holidays. The payroll divisor.</t>
        </is>
      </c>
      <c r="E22" s="8" t="inlineStr">
        <is>
          <t>2.9, and all four attendance reports</t>
        </is>
      </c>
    </row>
    <row r="23" ht="30" customHeight="1">
      <c r="A23" s="12" t="inlineStr">
        <is>
          <t>mst_finyear</t>
        </is>
      </c>
      <c r="B23" s="10" t="inlineStr">
        <is>
          <t>setup</t>
        </is>
      </c>
      <c r="C23" s="10" t="inlineStr">
        <is>
          <t>-</t>
        </is>
      </c>
      <c r="D23" s="10" t="inlineStr">
        <is>
          <t>Financial years. Serials restart within each; the active year goes into supplier and advance codes.</t>
        </is>
      </c>
      <c r="E23" s="10" t="inlineStr">
        <is>
          <t>2.2, 3.7, 3.8</t>
        </is>
      </c>
    </row>
    <row r="24" ht="30" customHeight="1">
      <c r="A24" s="11" t="inlineStr">
        <is>
          <t>mst_employee</t>
        </is>
      </c>
      <c r="B24" s="8" t="inlineStr">
        <is>
          <t>master</t>
        </is>
      </c>
      <c r="C24" s="8" t="inlineStr">
        <is>
          <t>~65</t>
        </is>
      </c>
      <c r="D24" s="8" t="inlineStr">
        <is>
          <t>The employee record. bio_id is the link to imported attendance; emp_type 1 Staff / 2 Labour / 3 Others.</t>
        </is>
      </c>
      <c r="E24" s="8" t="inlineStr">
        <is>
          <t>3.1-3.3, 3.6-3.8</t>
        </is>
      </c>
    </row>
    <row r="25" ht="30" customHeight="1">
      <c r="A25" s="12" t="inlineStr">
        <is>
          <t>mst_employee_certificate</t>
        </is>
      </c>
      <c r="B25" s="10" t="inlineStr">
        <is>
          <t>child</t>
        </is>
      </c>
      <c r="C25" s="10" t="inlineStr">
        <is>
          <t>4</t>
        </is>
      </c>
      <c r="D25" s="10" t="inlineStr">
        <is>
          <t>Uploaded certificates per employee. STAFF ONLY - the insert is guarded by emp_type == 1.</t>
        </is>
      </c>
      <c r="E25" s="10" t="inlineStr">
        <is>
          <t>3.1</t>
        </is>
      </c>
    </row>
    <row r="26" ht="16" customHeight="1">
      <c r="A26" s="11" t="inlineStr">
        <is>
          <t>tbl_asset_details</t>
        </is>
      </c>
      <c r="B26" s="8" t="inlineStr">
        <is>
          <t>child</t>
        </is>
      </c>
      <c r="C26" s="8" t="inlineStr">
        <is>
          <t>9</t>
        </is>
      </c>
      <c r="D26" s="8" t="inlineStr">
        <is>
          <t>Company assets issued to an employee. Rebuilt on every edit.</t>
        </is>
      </c>
      <c r="E26" s="8" t="inlineStr">
        <is>
          <t>3.1</t>
        </is>
      </c>
    </row>
    <row r="27" ht="30" customHeight="1">
      <c r="A27" s="12" t="inlineStr">
        <is>
          <t>mst_labour</t>
        </is>
      </c>
      <c r="B27" s="10" t="inlineStr">
        <is>
          <t>lookup</t>
        </is>
      </c>
      <c r="C27" s="10" t="inlineStr">
        <is>
          <t>10</t>
        </is>
      </c>
      <c r="D27" s="10" t="inlineStr">
        <is>
          <t>Labour groups or contractors. Still carries an unused company_id from the Benzear fork.</t>
        </is>
      </c>
      <c r="E27" s="10" t="inlineStr">
        <is>
          <t>3.4, 3.1</t>
        </is>
      </c>
    </row>
    <row r="28" ht="16" customHeight="1">
      <c r="A28" s="11" t="inlineStr">
        <is>
          <t>mst_salary_setting</t>
        </is>
      </c>
      <c r="B28" s="8" t="inlineStr">
        <is>
          <t>master</t>
        </is>
      </c>
      <c r="C28" s="8" t="inlineStr">
        <is>
          <t>17</t>
        </is>
      </c>
      <c r="D28" s="8" t="inlineStr">
        <is>
          <t>Salary packages. Every component is decimal(6,2) - max 9999.99.</t>
        </is>
      </c>
      <c r="E28" s="8" t="inlineStr">
        <is>
          <t>3.5</t>
        </is>
      </c>
    </row>
    <row r="29" ht="30" customHeight="1">
      <c r="A29" s="12" t="inlineStr">
        <is>
          <t>tbl_emp_advance</t>
        </is>
      </c>
      <c r="B29" s="10" t="inlineStr">
        <is>
          <t>transaction</t>
        </is>
      </c>
      <c r="C29" s="10" t="inlineStr">
        <is>
          <t>-</t>
        </is>
      </c>
      <c r="D29" s="10" t="inlineStr">
        <is>
          <t>Advances paid to employees, with running balance. advance_status 3 = treated as settled.</t>
        </is>
      </c>
      <c r="E29" s="10" t="inlineStr">
        <is>
          <t>3.7</t>
        </is>
      </c>
    </row>
    <row r="30" ht="16" customHeight="1">
      <c r="A30" s="11" t="inlineStr">
        <is>
          <t>tbl_emp_advance_return_payment</t>
        </is>
      </c>
      <c r="B30" s="8" t="inlineStr">
        <is>
          <t>transaction</t>
        </is>
      </c>
      <c r="C30" s="8" t="inlineStr">
        <is>
          <t>-</t>
        </is>
      </c>
      <c r="D30" s="8" t="inlineStr">
        <is>
          <t>Recoveries against an advance, tagged with the attendance month and year.</t>
        </is>
      </c>
      <c r="E30" s="8" t="inlineStr">
        <is>
          <t>3.7, attendance reports</t>
        </is>
      </c>
    </row>
    <row r="31" ht="16" customHeight="1">
      <c r="A31" s="12" t="inlineStr">
        <is>
          <t>tbl_emp_debit_note</t>
        </is>
      </c>
      <c r="B31" s="10" t="inlineStr">
        <is>
          <t>transaction</t>
        </is>
      </c>
      <c r="C31" s="10" t="inlineStr">
        <is>
          <t>-</t>
        </is>
      </c>
      <c r="D31" s="10" t="inlineStr">
        <is>
          <t>Charges raised against employees.</t>
        </is>
      </c>
      <c r="E31" s="10" t="inlineStr">
        <is>
          <t>3.8</t>
        </is>
      </c>
    </row>
    <row r="32" ht="30" customHeight="1">
      <c r="A32" s="11" t="inlineStr">
        <is>
          <t>tbl_accounts</t>
        </is>
      </c>
      <c r="B32" s="8" t="inlineStr">
        <is>
          <t>journal</t>
        </is>
      </c>
      <c r="C32" s="8" t="inlineStr">
        <is>
          <t>28</t>
        </is>
      </c>
      <c r="D32" s="8" t="inlineStr">
        <is>
          <t>THE CENTRAL DOUBLE-ENTRY JOURNAL. Every money movement posts here; Day Book, Ledger Book and Trial Balance are three readings of it.</t>
        </is>
      </c>
      <c r="E32" s="8" t="inlineStr">
        <is>
          <t>3.7, 3.8 (and most of the system)</t>
        </is>
      </c>
    </row>
    <row r="33" ht="30" customHeight="1">
      <c r="A33" s="12" t="inlineStr">
        <is>
          <t>mst_shifts</t>
        </is>
      </c>
      <c r="B33" s="10" t="inlineStr">
        <is>
          <t>setup</t>
        </is>
      </c>
      <c r="C33" s="10" t="inlineStr">
        <is>
          <t>12</t>
        </is>
      </c>
      <c r="D33" s="10" t="inlineStr">
        <is>
          <t>The two shifts and the six clock times that define each. Turns a punch into a present, a late or an overtime.</t>
        </is>
      </c>
      <c r="E33" s="10" t="inlineStr">
        <is>
          <t>3.9, Import Attendance, all attendance reports</t>
        </is>
      </c>
    </row>
    <row r="34" ht="30" customHeight="1">
      <c r="A34" s="11" t="inlineStr">
        <is>
          <t>tbl_item_stock</t>
        </is>
      </c>
      <c r="B34" s="8" t="inlineStr">
        <is>
          <t>stock</t>
        </is>
      </c>
      <c r="C34" s="8" t="inlineStr">
        <is>
          <t>many</t>
        </is>
      </c>
      <c r="D34" s="8" t="inlineStr">
        <is>
          <t>One row per item, with a BLOCK OF COLUMNS PER BRANCH. Not written in Phase 1, but mst_branch is entirely about it.</t>
        </is>
      </c>
      <c r="E34" s="8" t="inlineStr">
        <is>
          <t>(Phase 2)</t>
        </is>
      </c>
    </row>
  </sheetData>
  <autoFilter ref="A5:E34"/>
  <pageMargins left="0.3" right="0.3" top="0.4" bottom="0.4"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H23"/>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10" customWidth="1" min="3" max="3"/>
    <col width="12" customWidth="1" min="4" max="4"/>
    <col width="12" customWidth="1" min="5" max="5"/>
    <col width="12" customWidth="1" min="6" max="6"/>
    <col width="12" customWidth="1" min="7" max="7"/>
    <col width="46" customWidth="1" min="8" max="8"/>
  </cols>
  <sheetData>
    <row r="1" ht="22" customHeight="1">
      <c r="A1" s="1" t="inlineStr">
        <is>
          <t>Coverage tracker</t>
        </is>
      </c>
    </row>
    <row r="2" ht="16" customHeight="1">
      <c r="A2" s="2" t="inlineStr">
        <is>
          <t>Menu order follows the sidebar. Update the Status column as each phase lands - the totals below recalculate.</t>
        </is>
      </c>
    </row>
    <row r="3" ht="6" customHeight="1"/>
    <row r="5" ht="30" customHeight="1">
      <c r="A5" s="7" t="inlineStr">
        <is>
          <t>Order</t>
        </is>
      </c>
      <c r="B5" s="7" t="inlineStr">
        <is>
          <t>Main menu</t>
        </is>
      </c>
      <c r="C5" s="7" t="inlineStr">
        <is>
          <t>mm_id</t>
        </is>
      </c>
      <c r="D5" s="7" t="inlineStr">
        <is>
          <t>Screens</t>
        </is>
      </c>
      <c r="E5" s="7" t="inlineStr">
        <is>
          <t>Word part</t>
        </is>
      </c>
      <c r="F5" s="7" t="inlineStr">
        <is>
          <t>Phase</t>
        </is>
      </c>
      <c r="G5" s="7" t="inlineStr">
        <is>
          <t>Status</t>
        </is>
      </c>
      <c r="H5" s="7" t="inlineStr">
        <is>
          <t>Notes</t>
        </is>
      </c>
    </row>
    <row r="6">
      <c r="A6" s="8" t="n">
        <v>1</v>
      </c>
      <c r="B6" s="11" t="inlineStr">
        <is>
          <t>Settings</t>
        </is>
      </c>
      <c r="C6" s="8" t="n">
        <v>1</v>
      </c>
      <c r="D6" s="8" t="n">
        <v>3</v>
      </c>
      <c r="E6" s="8" t="inlineStr">
        <is>
          <t>Part 1</t>
        </is>
      </c>
      <c r="F6" s="8" t="inlineStr">
        <is>
          <t>Phase 1</t>
        </is>
      </c>
      <c r="G6" s="13" t="inlineStr">
        <is>
          <t>Done</t>
        </is>
      </c>
      <c r="H6" s="8" t="inlineStr">
        <is>
          <t>Administrators only. One menu item has no file behind it</t>
        </is>
      </c>
    </row>
    <row r="7">
      <c r="A7" s="10" t="n">
        <v>2</v>
      </c>
      <c r="B7" s="12" t="inlineStr">
        <is>
          <t>Masters</t>
        </is>
      </c>
      <c r="C7" s="10" t="n">
        <v>2</v>
      </c>
      <c r="D7" s="10" t="n">
        <v>9</v>
      </c>
      <c r="E7" s="10" t="inlineStr">
        <is>
          <t>Part 2</t>
        </is>
      </c>
      <c r="F7" s="10" t="inlineStr">
        <is>
          <t>Phase 1</t>
        </is>
      </c>
      <c r="G7" s="14" t="inlineStr">
        <is>
          <t>Done</t>
        </is>
      </c>
      <c r="H7" s="10" t="inlineStr">
        <is>
          <t>Month Master is the payroll calendar, not a lookup</t>
        </is>
      </c>
    </row>
    <row r="8">
      <c r="A8" s="8" t="n">
        <v>3</v>
      </c>
      <c r="B8" s="11" t="inlineStr">
        <is>
          <t>HR Management</t>
        </is>
      </c>
      <c r="C8" s="8" t="n">
        <v>23</v>
      </c>
      <c r="D8" s="8" t="n">
        <v>9</v>
      </c>
      <c r="E8" s="8" t="inlineStr">
        <is>
          <t>Part 3</t>
        </is>
      </c>
      <c r="F8" s="8" t="inlineStr">
        <is>
          <t>Phase 1</t>
        </is>
      </c>
      <c r="G8" s="13" t="inlineStr">
        <is>
          <t>Done</t>
        </is>
      </c>
      <c r="H8" s="8" t="inlineStr"/>
    </row>
    <row r="9">
      <c r="A9" s="10" t="n">
        <v>4</v>
      </c>
      <c r="B9" s="12" t="inlineStr">
        <is>
          <t>Item Masters</t>
        </is>
      </c>
      <c r="C9" s="10" t="n">
        <v>3</v>
      </c>
      <c r="D9" s="10" t="n">
        <v>10</v>
      </c>
      <c r="E9" s="10" t="inlineStr">
        <is>
          <t>Part 4</t>
        </is>
      </c>
      <c r="F9" s="10" t="inlineStr">
        <is>
          <t>Phase 2</t>
        </is>
      </c>
      <c r="G9" s="15" t="inlineStr">
        <is>
          <t>Pending</t>
        </is>
      </c>
      <c r="H9" s="10" t="inlineStr"/>
    </row>
    <row r="10">
      <c r="A10" s="8" t="n">
        <v>5</v>
      </c>
      <c r="B10" s="11" t="inlineStr">
        <is>
          <t>Attendance and Salary</t>
        </is>
      </c>
      <c r="C10" s="8" t="n">
        <v>24</v>
      </c>
      <c r="D10" s="8" t="n">
        <v>5</v>
      </c>
      <c r="E10" s="8" t="inlineStr">
        <is>
          <t>Part 5</t>
        </is>
      </c>
      <c r="F10" s="8" t="inlineStr">
        <is>
          <t>Phase 2</t>
        </is>
      </c>
      <c r="G10" s="16" t="inlineStr">
        <is>
          <t>Pending</t>
        </is>
      </c>
      <c r="H10" s="8" t="inlineStr"/>
    </row>
    <row r="11">
      <c r="A11" s="10" t="n">
        <v>6</v>
      </c>
      <c r="B11" s="12" t="inlineStr">
        <is>
          <t>Sales</t>
        </is>
      </c>
      <c r="C11" s="10" t="n">
        <v>4</v>
      </c>
      <c r="D11" s="10" t="n">
        <v>2</v>
      </c>
      <c r="E11" s="10" t="inlineStr">
        <is>
          <t>Part 6</t>
        </is>
      </c>
      <c r="F11" s="10" t="inlineStr">
        <is>
          <t>Phase 2</t>
        </is>
      </c>
      <c r="G11" s="15" t="inlineStr">
        <is>
          <t>Pending</t>
        </is>
      </c>
      <c r="H11" s="10" t="inlineStr"/>
    </row>
    <row r="12">
      <c r="A12" s="8" t="n">
        <v>7</v>
      </c>
      <c r="B12" s="11" t="inlineStr">
        <is>
          <t>Purchase</t>
        </is>
      </c>
      <c r="C12" s="8" t="n">
        <v>19</v>
      </c>
      <c r="D12" s="8" t="n">
        <v>2</v>
      </c>
      <c r="E12" s="8" t="inlineStr">
        <is>
          <t>Part 7</t>
        </is>
      </c>
      <c r="F12" s="8" t="inlineStr">
        <is>
          <t>Phase 2</t>
        </is>
      </c>
      <c r="G12" s="16" t="inlineStr">
        <is>
          <t>Pending</t>
        </is>
      </c>
      <c r="H12" s="8" t="inlineStr"/>
    </row>
    <row r="13">
      <c r="A13" s="10" t="n">
        <v>8</v>
      </c>
      <c r="B13" s="12" t="inlineStr">
        <is>
          <t>Stores</t>
        </is>
      </c>
      <c r="C13" s="10" t="n">
        <v>20</v>
      </c>
      <c r="D13" s="10" t="n">
        <v>4</v>
      </c>
      <c r="E13" s="10" t="inlineStr">
        <is>
          <t>Part 8</t>
        </is>
      </c>
      <c r="F13" s="10" t="inlineStr">
        <is>
          <t>Phase 2</t>
        </is>
      </c>
      <c r="G13" s="15" t="inlineStr">
        <is>
          <t>Pending</t>
        </is>
      </c>
      <c r="H13" s="10" t="inlineStr">
        <is>
          <t>Where stock actually moves</t>
        </is>
      </c>
    </row>
    <row r="14">
      <c r="A14" s="8" t="n">
        <v>9</v>
      </c>
      <c r="B14" s="11" t="inlineStr">
        <is>
          <t>Accounts</t>
        </is>
      </c>
      <c r="C14" s="8" t="n">
        <v>21</v>
      </c>
      <c r="D14" s="8" t="n">
        <v>3</v>
      </c>
      <c r="E14" s="8" t="inlineStr">
        <is>
          <t>Part 9</t>
        </is>
      </c>
      <c r="F14" s="8" t="inlineStr">
        <is>
          <t>Phase 3</t>
        </is>
      </c>
      <c r="G14" s="16" t="inlineStr">
        <is>
          <t>Pending</t>
        </is>
      </c>
      <c r="H14" s="8" t="inlineStr"/>
    </row>
    <row r="15">
      <c r="A15" s="10" t="n">
        <v>10</v>
      </c>
      <c r="B15" s="12" t="inlineStr">
        <is>
          <t>Report</t>
        </is>
      </c>
      <c r="C15" s="10" t="n">
        <v>22</v>
      </c>
      <c r="D15" s="10" t="n">
        <v>14</v>
      </c>
      <c r="E15" s="10" t="inlineStr">
        <is>
          <t>Part 10</t>
        </is>
      </c>
      <c r="F15" s="10" t="inlineStr">
        <is>
          <t>Phase 3</t>
        </is>
      </c>
      <c r="G15" s="15" t="inlineStr">
        <is>
          <t>Pending</t>
        </is>
      </c>
      <c r="H15" s="10" t="inlineStr">
        <is>
          <t>Largest menu - 14 reports</t>
        </is>
      </c>
    </row>
    <row r="16">
      <c r="A16" s="8" t="n">
        <v>11</v>
      </c>
      <c r="B16" s="11" t="inlineStr">
        <is>
          <t>Service</t>
        </is>
      </c>
      <c r="C16" s="8" t="n">
        <v>25</v>
      </c>
      <c r="D16" s="8" t="n">
        <v>2</v>
      </c>
      <c r="E16" s="8" t="inlineStr">
        <is>
          <t>Part 11</t>
        </is>
      </c>
      <c r="F16" s="8" t="inlineStr">
        <is>
          <t>Phase 3</t>
        </is>
      </c>
      <c r="G16" s="16" t="inlineStr">
        <is>
          <t>Pending</t>
        </is>
      </c>
      <c r="H16" s="8" t="inlineStr"/>
    </row>
    <row r="18">
      <c r="A18" s="17" t="inlineStr">
        <is>
          <t>Menus in the system</t>
        </is>
      </c>
      <c r="C18" s="18">
        <f>COUNTA(B6:B16)</f>
        <v/>
      </c>
    </row>
    <row r="19">
      <c r="A19" s="17" t="inlineStr">
        <is>
          <t>Menus documented</t>
        </is>
      </c>
      <c r="C19" s="18">
        <f>COUNTIF(G6:G16,"Done")</f>
        <v/>
      </c>
    </row>
    <row r="20">
      <c r="A20" s="17" t="inlineStr">
        <is>
          <t>Screens in the system</t>
        </is>
      </c>
      <c r="C20" s="18">
        <f>SUM(D6:D16)</f>
        <v/>
      </c>
    </row>
    <row r="21">
      <c r="A21" s="17" t="inlineStr">
        <is>
          <t>Screens documented</t>
        </is>
      </c>
      <c r="C21" s="18">
        <f>SUMIF(G6:G16,"Done",D6:D16)</f>
        <v/>
      </c>
    </row>
    <row r="22">
      <c r="A22" s="17" t="inlineStr">
        <is>
          <t>Screens remaining</t>
        </is>
      </c>
      <c r="C22" s="18">
        <f>SUMIF(G6:G16,"Pending",D6:D16)</f>
        <v/>
      </c>
    </row>
    <row r="23">
      <c r="A23" s="17" t="inlineStr">
        <is>
          <t>Percent complete</t>
        </is>
      </c>
      <c r="C23" s="19">
        <f>IFERROR(SUMIF(G6:G16,"Done",D6:D16)/SUM(D6:D16),0)</f>
        <v/>
      </c>
    </row>
  </sheetData>
  <mergeCells count="12">
    <mergeCell ref="C20:D20"/>
    <mergeCell ref="A20:B20"/>
    <mergeCell ref="A21:B21"/>
    <mergeCell ref="C21:D21"/>
    <mergeCell ref="A19:B19"/>
    <mergeCell ref="C19:D19"/>
    <mergeCell ref="A23:B23"/>
    <mergeCell ref="C22:D22"/>
    <mergeCell ref="C18:D18"/>
    <mergeCell ref="A18:B18"/>
    <mergeCell ref="C23:D23"/>
    <mergeCell ref="A22:B22"/>
  </mergeCells>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2026-09-19T12:19:01Z</dcterms:created>
  <dcterms:modified xmlns:dcterms="http://purl.org/dc/terms/" xmlns:xsi="http://www.w3.org/2001/XMLSchema-instance" xsi:type="dcterms:W3CDTF">2026-09-19T12:19:01Z</dcterms:modified>
</cp:coreProperties>
</file>