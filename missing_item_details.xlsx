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tabRatio="349" activeTab="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O30" i="3" l="1"/>
  <c r="O31" i="3"/>
  <c r="O32" i="3"/>
  <c r="O33" i="3"/>
  <c r="N32" i="3"/>
  <c r="N33" i="3"/>
  <c r="N30" i="3"/>
  <c r="O21" i="3"/>
  <c r="N21" i="3"/>
  <c r="O16" i="3"/>
  <c r="N16" i="3"/>
  <c r="O9" i="3"/>
  <c r="N9" i="3"/>
  <c r="O71" i="3"/>
  <c r="O72" i="3"/>
  <c r="N72" i="3"/>
  <c r="N71" i="3"/>
  <c r="O3" i="3"/>
  <c r="O4" i="3"/>
  <c r="O5" i="3"/>
  <c r="O6" i="3"/>
  <c r="O7" i="3"/>
  <c r="O8" i="3"/>
  <c r="O10" i="3"/>
  <c r="O11" i="3"/>
  <c r="O12" i="3"/>
  <c r="O13" i="3"/>
  <c r="O14" i="3"/>
  <c r="O15" i="3"/>
  <c r="O17" i="3"/>
  <c r="O18" i="3"/>
  <c r="O19" i="3"/>
  <c r="O20" i="3"/>
  <c r="O22" i="3"/>
  <c r="O23" i="3"/>
  <c r="O24" i="3"/>
  <c r="O25" i="3"/>
  <c r="O26" i="3"/>
  <c r="O27" i="3"/>
  <c r="O28" i="3"/>
  <c r="O29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2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31" i="3"/>
  <c r="N23" i="3"/>
  <c r="N24" i="3"/>
  <c r="N25" i="3"/>
  <c r="N26" i="3"/>
  <c r="N27" i="3"/>
  <c r="N28" i="3"/>
  <c r="N29" i="3"/>
  <c r="N22" i="3"/>
  <c r="N18" i="3"/>
  <c r="N19" i="3"/>
  <c r="N20" i="3"/>
  <c r="N17" i="3"/>
  <c r="N11" i="3"/>
  <c r="N12" i="3"/>
  <c r="N13" i="3"/>
  <c r="N14" i="3"/>
  <c r="N15" i="3"/>
  <c r="N10" i="3"/>
  <c r="N3" i="3"/>
  <c r="N4" i="3"/>
  <c r="N5" i="3"/>
  <c r="N6" i="3"/>
  <c r="N7" i="3"/>
  <c r="N8" i="3"/>
  <c r="N2" i="3"/>
</calcChain>
</file>

<file path=xl/sharedStrings.xml><?xml version="1.0" encoding="utf-8"?>
<sst xmlns="http://schemas.openxmlformats.org/spreadsheetml/2006/main" count="506" uniqueCount="211">
  <si>
    <t>item_type</t>
  </si>
  <si>
    <t>branch_id</t>
  </si>
  <si>
    <t>item_principal</t>
  </si>
  <si>
    <t>item_code</t>
  </si>
  <si>
    <t>item_purchase_code</t>
  </si>
  <si>
    <t>supp_item_code</t>
  </si>
  <si>
    <t>item_category</t>
  </si>
  <si>
    <t>item_desciption</t>
  </si>
  <si>
    <t>item_uom</t>
  </si>
  <si>
    <t>item_brand_make</t>
  </si>
  <si>
    <t>item_price</t>
  </si>
  <si>
    <t>item_discount</t>
  </si>
  <si>
    <t>item_cost_price</t>
  </si>
  <si>
    <t>item_selling_price</t>
  </si>
  <si>
    <t>margin_percent</t>
  </si>
  <si>
    <t>item_hsn</t>
  </si>
  <si>
    <t>1,2,3</t>
  </si>
  <si>
    <t>TGT-SSD-1/2X11</t>
  </si>
  <si>
    <t>SOCKET SQURE DRIVE</t>
  </si>
  <si>
    <t>SOCKETS - 11mm (1/2) SQUARE DRIVE : Flank Drive</t>
  </si>
  <si>
    <t>TAPARIA</t>
  </si>
  <si>
    <t>TGT-SSD-1/2X15</t>
  </si>
  <si>
    <t>SOCKETS - 15mm (1/2) SQUARE DRIVE : Flank Drive</t>
  </si>
  <si>
    <t>TGT-SSD-1/2X16</t>
  </si>
  <si>
    <t>SOCKETS - 16mm (1/2) SQUARE DRIVE : Flank Drive</t>
  </si>
  <si>
    <t>TGT-SSD-1/2X18</t>
  </si>
  <si>
    <t>SOCKETS - 18mm (1/2) SQUARE DRIVE : Flank Drive</t>
  </si>
  <si>
    <t>TGT-SSD-1/2X19</t>
  </si>
  <si>
    <t>SOCKETS - 19mm (1/2) SQUARE DRIVE : Flank Drive</t>
  </si>
  <si>
    <t>TGT-SSD-1/2X30</t>
  </si>
  <si>
    <t>SOCKETS - 30mm (1/2) SQUARE DRIVE : Flank Drive</t>
  </si>
  <si>
    <t>TGT-SSD-1/2X32</t>
  </si>
  <si>
    <t>SOCKETS - 32mm (1/2) SQUARE DRIVE : Flank Drive</t>
  </si>
  <si>
    <t>TGT-A/C-CH</t>
  </si>
  <si>
    <t>A/C CHARGING HOSE</t>
  </si>
  <si>
    <t>TGT-BW-10</t>
  </si>
  <si>
    <t>COMBINATION SPANNER</t>
  </si>
  <si>
    <t>COMBINATION SPANNERS (CHROME PLATED)10</t>
  </si>
  <si>
    <t>TGT-BW-13</t>
  </si>
  <si>
    <t>COMBINATION SPANNERS (CHROME PLATED)13</t>
  </si>
  <si>
    <t>TGT-BW-14</t>
  </si>
  <si>
    <t>COMBINATION SPANNERS (CHROME PLATED)14</t>
  </si>
  <si>
    <t>GA-FG-26B</t>
  </si>
  <si>
    <t>FEELER GAUGE</t>
  </si>
  <si>
    <t xml:space="preserve">FEELER GAUGE 26 BLADE  </t>
  </si>
  <si>
    <t>TGT-P-LP-1641-5</t>
  </si>
  <si>
    <t>GRIP PLIER</t>
  </si>
  <si>
    <t>LOCKING PLIERS 1641-5</t>
  </si>
  <si>
    <t>TGT-P-LP-1643</t>
  </si>
  <si>
    <t>LOCK PLIER</t>
  </si>
  <si>
    <t>LOCKING PLIERS 1643</t>
  </si>
  <si>
    <t>PIPE SPANNER</t>
  </si>
  <si>
    <t>BRAKE PIPE SPANNER 10x11</t>
  </si>
  <si>
    <t>TGT-PM-H-SFH50</t>
  </si>
  <si>
    <t>SOFT HAMMER</t>
  </si>
  <si>
    <t xml:space="preserve"> SOFT FACED HAMMER WITH HANDLE  50</t>
  </si>
  <si>
    <t>TGT-TS-20-P</t>
  </si>
  <si>
    <t>T 20</t>
  </si>
  <si>
    <t>TORX BIT SOCKETS - 20mm (1/2) SQUARE DRIVE</t>
  </si>
  <si>
    <t>TGT-TS-30-P</t>
  </si>
  <si>
    <t>T30</t>
  </si>
  <si>
    <t>TORX BIT SOCKETS - 30mm (1/2) SQUARE DRIVE</t>
  </si>
  <si>
    <t>TGT-TS-40-P</t>
  </si>
  <si>
    <t>T 40</t>
  </si>
  <si>
    <t>TORX BIT SOCKETS - 40mm (1/2) SQUARE DRIVE</t>
  </si>
  <si>
    <t>TGT-TS-45-P</t>
  </si>
  <si>
    <t>T 45</t>
  </si>
  <si>
    <t>TORX BIT SOCKETS - 45mm (1/2) SQUARE DRIVE</t>
  </si>
  <si>
    <t>TGT-TS-25-P</t>
  </si>
  <si>
    <t>T 25</t>
  </si>
  <si>
    <t>TORX BIT SOCKETS - 25mm (1/2) SQUARE DRIVE</t>
  </si>
  <si>
    <t>TGT-DES-8-10</t>
  </si>
  <si>
    <t>DOUBLE END SPANNER</t>
  </si>
  <si>
    <t>DOUBLE ENDED OPEN JAW SPANNERS - GENERAL PURPOSE (CHROME PLATED)8X10</t>
  </si>
  <si>
    <t>TGT-RS-8 X 9</t>
  </si>
  <si>
    <t>RING SPANNER</t>
  </si>
  <si>
    <t>RING SPANNERS (CHROME PLATED)8X9</t>
  </si>
  <si>
    <t>TGT-RS-12X13</t>
  </si>
  <si>
    <t>RING SPANNERS (CHROME PLATED)12X13</t>
  </si>
  <si>
    <t>GT-TS-7-P</t>
  </si>
  <si>
    <t>T-HANDLE SPANNER</t>
  </si>
  <si>
    <t>T SOCKET WRENCHES 7MM</t>
  </si>
  <si>
    <t>TGT-TH-1733</t>
  </si>
  <si>
    <t>T JOINT</t>
  </si>
  <si>
    <t>T - Handle</t>
  </si>
  <si>
    <t>TGT-AH-1736</t>
  </si>
  <si>
    <t>L ROD</t>
  </si>
  <si>
    <t>Angle Handle</t>
  </si>
  <si>
    <t>TGT-UJ-1773</t>
  </si>
  <si>
    <t>UNIVERSAL JOINT</t>
  </si>
  <si>
    <t>Universal Joint</t>
  </si>
  <si>
    <t>TRIANGULAR FILE</t>
  </si>
  <si>
    <t>TGT-FAL-KTH-7S</t>
  </si>
  <si>
    <t>FLOWER SET/HEX KEY SETS</t>
  </si>
  <si>
    <t>TORX KEY SETS (Short Series) : Hanger Pkg</t>
  </si>
  <si>
    <t>SEALANT GUN</t>
  </si>
  <si>
    <t>ST-RS-6-32</t>
  </si>
  <si>
    <t>12PCS SHALLOW OFSET BIHEX SPANNER SET ,6X7-30X32MM</t>
  </si>
  <si>
    <t>STANLEY</t>
  </si>
  <si>
    <t>ST-DES-6-32</t>
  </si>
  <si>
    <t>DOUBLE OPEN END SPANNER</t>
  </si>
  <si>
    <t>12PC DOUBLE O/E SPANNERS SET , 6X7 TO 30X32MM</t>
  </si>
  <si>
    <t>ST-TS-8</t>
  </si>
  <si>
    <t>T-HANDLE SPANNER 8MM</t>
  </si>
  <si>
    <t>ST-TS-9</t>
  </si>
  <si>
    <t>T-HANDLE SPANNER 9MM</t>
  </si>
  <si>
    <t>ST-TS-10</t>
  </si>
  <si>
    <t>T-HANDLE SPANNER 10MM</t>
  </si>
  <si>
    <t>ST-TS-11</t>
  </si>
  <si>
    <t>T-HANDLE SPANNER 11MM</t>
  </si>
  <si>
    <t>ST-TS-12</t>
  </si>
  <si>
    <t>T-HANDLE SPANNER 12MM</t>
  </si>
  <si>
    <t>ST-TS-13</t>
  </si>
  <si>
    <t>T-HANDLE SPANNER 13MM</t>
  </si>
  <si>
    <t>ST-TS-14</t>
  </si>
  <si>
    <t>T-HANDLE SPANNER 14MM</t>
  </si>
  <si>
    <t>ST-CG-SC-P-2-125</t>
  </si>
  <si>
    <t>C/GRIP SCREWDRIVERS</t>
  </si>
  <si>
    <t>CUSHION GRIP SCREW DRIVER PHILLIPS PH2 X 125MM</t>
  </si>
  <si>
    <t>ST-CG-SC-P-2-200</t>
  </si>
  <si>
    <t>CUSHION GRIP SCREW DRIVER PHILLIPS PH2 X 200MM</t>
  </si>
  <si>
    <t>ST-CG-SC-P-3-250</t>
  </si>
  <si>
    <t>CUSHION GRIP SCREW DRIVER PHILLIPS PH3 X 250MM</t>
  </si>
  <si>
    <t>ST-CG-SC-3-125</t>
  </si>
  <si>
    <t>CUSHION GRIP SCREW DRIVER STANDARD 3X125 MM</t>
  </si>
  <si>
    <t>ST-CG-SC-6.5-150</t>
  </si>
  <si>
    <t>CUSHION GRIP SCREW DRIVER STANDARD 6.5MM X 150 MM</t>
  </si>
  <si>
    <t>ST-CG-SC-6.5-250</t>
  </si>
  <si>
    <t>CUSHION GRIP SCREW DRIVER STANDARD 6.5MM X 250 MM</t>
  </si>
  <si>
    <t>ST-H-16</t>
  </si>
  <si>
    <t>HAMMERS</t>
  </si>
  <si>
    <t>BALL PEIN HAMMER 450GMS-16 OZ</t>
  </si>
  <si>
    <t>ST-HKS-R-10</t>
  </si>
  <si>
    <t>HEX KEY SETS</t>
  </si>
  <si>
    <t>HEX KEY RING SET 10 PC</t>
  </si>
  <si>
    <t>ST-P-LN-6</t>
  </si>
  <si>
    <t>LONG NOSE PLIER</t>
  </si>
  <si>
    <t>6" LONG NOSE PLIER</t>
  </si>
  <si>
    <t>ST-P-LP-1/2-215</t>
  </si>
  <si>
    <t>LONG NOSE</t>
  </si>
  <si>
    <t>215MM/8 1/2" LOCKG PLIERS LONG NOSE</t>
  </si>
  <si>
    <t>ST-DSS-3/8-46</t>
  </si>
  <si>
    <t>3/8" DRIVE SOCKET SET</t>
  </si>
  <si>
    <t>46PC 3/8" SQ DR.DRIVE SOCKET SET</t>
  </si>
  <si>
    <t>A-MT-3M</t>
  </si>
  <si>
    <t>MEASURING TAPE</t>
  </si>
  <si>
    <t>Measurement Tape 3 m</t>
  </si>
  <si>
    <t>AJANTHA</t>
  </si>
  <si>
    <t>A-SS-100</t>
  </si>
  <si>
    <t>STEEL SCALE</t>
  </si>
  <si>
    <t xml:space="preserve">Steel Scale  100 cm </t>
  </si>
  <si>
    <t>TGT-CC-4-105</t>
  </si>
  <si>
    <t>C CLAMP</t>
  </si>
  <si>
    <t>C Clamp  4   105 MM</t>
  </si>
  <si>
    <t>TGT-CC-6-155</t>
  </si>
  <si>
    <t>C Clamp  6   155 MM</t>
  </si>
  <si>
    <t>TGT-CC-8-205</t>
  </si>
  <si>
    <t>C Clamp  8   205 MM</t>
  </si>
  <si>
    <t>TGT-SL-300</t>
  </si>
  <si>
    <t>SPRIT LEVEL</t>
  </si>
  <si>
    <t>Sprit Level 300 MM</t>
  </si>
  <si>
    <t>9015 30 10</t>
  </si>
  <si>
    <t>T-DP-100-180</t>
  </si>
  <si>
    <t>DEGREE PROTACTOR</t>
  </si>
  <si>
    <t>Degree Protactor ( 100 mm 180 )</t>
  </si>
  <si>
    <t>Tools</t>
  </si>
  <si>
    <t>B-AG-4</t>
  </si>
  <si>
    <t>ANGLE GRIANDER</t>
  </si>
  <si>
    <t xml:space="preserve">Angle Grinder 4" </t>
  </si>
  <si>
    <t>BOSCH</t>
  </si>
  <si>
    <t>B-DM-450</t>
  </si>
  <si>
    <t>DRILLING MACHINE</t>
  </si>
  <si>
    <t>Drilling Machine ( Bosch GSB 450 W10 mm )</t>
  </si>
  <si>
    <t>M-DB-1-13</t>
  </si>
  <si>
    <t>DRILL BIT</t>
  </si>
  <si>
    <t>Drill Bit ( 1mm to 13mm)</t>
  </si>
  <si>
    <t>MIRANDA</t>
  </si>
  <si>
    <t>8207 5000</t>
  </si>
  <si>
    <t>F-DM-101-600V</t>
  </si>
  <si>
    <t>DIGITAL MULTIMETER</t>
  </si>
  <si>
    <t>Digital Multimeter - Fluke 101 600V</t>
  </si>
  <si>
    <t>FLUKE</t>
  </si>
  <si>
    <t>F-CM-362</t>
  </si>
  <si>
    <t>CLAMP METER</t>
  </si>
  <si>
    <t>Clamp Meter - Fluke 362</t>
  </si>
  <si>
    <t>F-SM-945</t>
  </si>
  <si>
    <t>SOUND METER</t>
  </si>
  <si>
    <t>Sound Meter - Fluke 945</t>
  </si>
  <si>
    <t>9027 8990</t>
  </si>
  <si>
    <t>E-DTW-0.2-10</t>
  </si>
  <si>
    <t>DIGITAL TORQUE WRENCH</t>
  </si>
  <si>
    <t>Digital Torque Wrench (0.2 - 10 Nm) - Eclatorq</t>
  </si>
  <si>
    <t>Eclatorq</t>
  </si>
  <si>
    <t>8204 1120</t>
  </si>
  <si>
    <t>E-DTW-10-60</t>
  </si>
  <si>
    <t>Digital Torque Wrench (10 - 60 Nm) - Eclatorq</t>
  </si>
  <si>
    <t>E-DTW-60-120</t>
  </si>
  <si>
    <t>Digital Torque Wrench (60 - 120 Nm) - Eclatorq</t>
  </si>
  <si>
    <t>T-TW-</t>
  </si>
  <si>
    <t>TWEEZER</t>
  </si>
  <si>
    <t>Tweezer ( Bent Type )</t>
  </si>
  <si>
    <t>ST-SCP-220</t>
  </si>
  <si>
    <t>CRIMPING PLIER</t>
  </si>
  <si>
    <t>STANDARD CRIMPING PLIERS 220MM</t>
  </si>
  <si>
    <t>DIVISION</t>
  </si>
  <si>
    <t>70" Wall Cabinet</t>
  </si>
  <si>
    <t>70" Steel Panel</t>
  </si>
  <si>
    <t>TOOLS STORAGE</t>
  </si>
  <si>
    <t>STST700000-A</t>
  </si>
  <si>
    <t>STSTB014-A</t>
  </si>
  <si>
    <t>METAL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</si>
</sst>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tabSelected="1" topLeftCell="G1" zoomScaleNormal="100" workbookViewId="0">
      <selection activeCell="W34" sqref="W34"/>
    </sheetView>
  </sheetViews>
  <sheetFormatPr defaultRowHeight="15" x14ac:dyDescent="0.25"/>
  <cols>
    <col min="1" max="1" width="13" hidden="1" customWidth="1"/>
    <col min="2" max="2" width="12.42578125" hidden="1" customWidth="1"/>
    <col min="3" max="3" width="18" hidden="1" customWidth="1"/>
    <col min="4" max="4" width="15.42578125" bestFit="1" customWidth="1"/>
    <col min="5" max="5" width="16.42578125" bestFit="1" customWidth="1"/>
    <col min="6" max="6" width="25.28515625" bestFit="1" customWidth="1"/>
    <col min="7" max="7" width="20.28515625" bestFit="1" customWidth="1"/>
    <col min="8" max="8" width="27" bestFit="1" customWidth="1"/>
    <col min="9" max="9" width="75" bestFit="1" customWidth="1"/>
    <col min="10" max="10" width="12.85546875" hidden="1" customWidth="1"/>
    <col min="11" max="11" width="22.28515625" bestFit="1" customWidth="1"/>
    <col min="12" max="12" width="13.7109375" bestFit="1" customWidth="1"/>
    <col min="13" max="13" width="17.85546875" bestFit="1" customWidth="1"/>
    <col min="14" max="14" width="19.85546875" bestFit="1" customWidth="1"/>
    <col min="15" max="15" width="22.7109375" bestFit="1" customWidth="1"/>
    <col min="16" max="16" width="19.5703125" bestFit="1" customWidth="1"/>
    <col min="17" max="17" width="11.85546875" style="2" bestFit="1" customWidth="1"/>
  </cols>
  <sheetData>
    <row r="1" spans="1:17" s="3" customFormat="1" ht="18.75" x14ac:dyDescent="0.3">
      <c r="A1" s="3" t="s">
        <v>0</v>
      </c>
      <c r="B1" s="3" t="s">
        <v>1</v>
      </c>
      <c r="C1" s="3" t="s">
        <v>2</v>
      </c>
      <c r="D1" s="3" t="s">
        <v>204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</row>
    <row r="2" spans="1:17" x14ac:dyDescent="0.25">
      <c r="A2">
        <v>2</v>
      </c>
      <c r="B2" t="s">
        <v>16</v>
      </c>
      <c r="C2">
        <v>1</v>
      </c>
      <c r="D2" s="1"/>
      <c r="E2" t="s">
        <v>17</v>
      </c>
      <c r="F2" t="s">
        <v>17</v>
      </c>
      <c r="G2" t="s">
        <v>17</v>
      </c>
      <c r="H2" t="s">
        <v>18</v>
      </c>
      <c r="I2" t="s">
        <v>19</v>
      </c>
      <c r="J2">
        <v>2</v>
      </c>
      <c r="K2" t="s">
        <v>20</v>
      </c>
      <c r="L2">
        <v>73</v>
      </c>
      <c r="M2">
        <v>45</v>
      </c>
      <c r="N2">
        <f>L2-(L2*M2/100)</f>
        <v>40.15</v>
      </c>
      <c r="O2">
        <f>(L2*P2/100)+L2</f>
        <v>73</v>
      </c>
      <c r="P2">
        <v>0</v>
      </c>
      <c r="Q2" s="2">
        <v>82042000</v>
      </c>
    </row>
    <row r="3" spans="1:17" x14ac:dyDescent="0.25">
      <c r="A3">
        <v>2</v>
      </c>
      <c r="B3" t="s">
        <v>16</v>
      </c>
      <c r="C3">
        <v>1</v>
      </c>
      <c r="D3" s="1"/>
      <c r="E3" t="s">
        <v>21</v>
      </c>
      <c r="F3" t="s">
        <v>21</v>
      </c>
      <c r="G3" t="s">
        <v>21</v>
      </c>
      <c r="H3" t="s">
        <v>18</v>
      </c>
      <c r="I3" t="s">
        <v>22</v>
      </c>
      <c r="J3">
        <v>2</v>
      </c>
      <c r="K3" t="s">
        <v>20</v>
      </c>
      <c r="L3">
        <v>75</v>
      </c>
      <c r="M3">
        <v>45</v>
      </c>
      <c r="N3">
        <f t="shared" ref="N3:N66" si="0">L3-(L3*M3/100)</f>
        <v>41.25</v>
      </c>
      <c r="O3">
        <f t="shared" ref="O3:O66" si="1">(L3*P3/100)+L3</f>
        <v>75</v>
      </c>
      <c r="P3">
        <v>0</v>
      </c>
      <c r="Q3" s="2">
        <v>82042000</v>
      </c>
    </row>
    <row r="4" spans="1:17" x14ac:dyDescent="0.25">
      <c r="A4">
        <v>2</v>
      </c>
      <c r="B4" t="s">
        <v>16</v>
      </c>
      <c r="C4">
        <v>1</v>
      </c>
      <c r="D4" s="1"/>
      <c r="E4" t="s">
        <v>23</v>
      </c>
      <c r="F4" t="s">
        <v>23</v>
      </c>
      <c r="G4" t="s">
        <v>23</v>
      </c>
      <c r="H4" t="s">
        <v>18</v>
      </c>
      <c r="I4" t="s">
        <v>24</v>
      </c>
      <c r="J4">
        <v>2</v>
      </c>
      <c r="K4" t="s">
        <v>20</v>
      </c>
      <c r="L4">
        <v>75</v>
      </c>
      <c r="M4">
        <v>45</v>
      </c>
      <c r="N4">
        <f t="shared" si="0"/>
        <v>41.25</v>
      </c>
      <c r="O4">
        <f t="shared" si="1"/>
        <v>75</v>
      </c>
      <c r="P4">
        <v>0</v>
      </c>
      <c r="Q4" s="2">
        <v>82042000</v>
      </c>
    </row>
    <row r="5" spans="1:17" x14ac:dyDescent="0.25">
      <c r="A5">
        <v>2</v>
      </c>
      <c r="B5" t="s">
        <v>16</v>
      </c>
      <c r="C5">
        <v>1</v>
      </c>
      <c r="D5" s="1"/>
      <c r="E5" t="s">
        <v>25</v>
      </c>
      <c r="F5" t="s">
        <v>25</v>
      </c>
      <c r="G5" t="s">
        <v>25</v>
      </c>
      <c r="H5" t="s">
        <v>18</v>
      </c>
      <c r="I5" t="s">
        <v>26</v>
      </c>
      <c r="J5">
        <v>2</v>
      </c>
      <c r="K5" t="s">
        <v>20</v>
      </c>
      <c r="L5">
        <v>83</v>
      </c>
      <c r="M5">
        <v>45</v>
      </c>
      <c r="N5">
        <f t="shared" si="0"/>
        <v>45.65</v>
      </c>
      <c r="O5">
        <f t="shared" si="1"/>
        <v>83</v>
      </c>
      <c r="P5">
        <v>0</v>
      </c>
      <c r="Q5" s="2">
        <v>82042000</v>
      </c>
    </row>
    <row r="6" spans="1:17" x14ac:dyDescent="0.25">
      <c r="A6">
        <v>2</v>
      </c>
      <c r="B6" t="s">
        <v>16</v>
      </c>
      <c r="C6">
        <v>1</v>
      </c>
      <c r="D6" s="1"/>
      <c r="E6" t="s">
        <v>27</v>
      </c>
      <c r="F6" t="s">
        <v>27</v>
      </c>
      <c r="G6" t="s">
        <v>27</v>
      </c>
      <c r="H6" t="s">
        <v>18</v>
      </c>
      <c r="I6" t="s">
        <v>28</v>
      </c>
      <c r="J6">
        <v>2</v>
      </c>
      <c r="K6" t="s">
        <v>20</v>
      </c>
      <c r="L6">
        <v>83</v>
      </c>
      <c r="M6">
        <v>45</v>
      </c>
      <c r="N6">
        <f t="shared" si="0"/>
        <v>45.65</v>
      </c>
      <c r="O6">
        <f t="shared" si="1"/>
        <v>83</v>
      </c>
      <c r="P6">
        <v>0</v>
      </c>
      <c r="Q6" s="2">
        <v>82042000</v>
      </c>
    </row>
    <row r="7" spans="1:17" x14ac:dyDescent="0.25">
      <c r="A7">
        <v>2</v>
      </c>
      <c r="B7" t="s">
        <v>16</v>
      </c>
      <c r="C7">
        <v>1</v>
      </c>
      <c r="D7" s="1"/>
      <c r="E7" t="s">
        <v>29</v>
      </c>
      <c r="F7" t="s">
        <v>29</v>
      </c>
      <c r="G7" t="s">
        <v>29</v>
      </c>
      <c r="H7" t="s">
        <v>18</v>
      </c>
      <c r="I7" t="s">
        <v>30</v>
      </c>
      <c r="J7">
        <v>2</v>
      </c>
      <c r="K7" t="s">
        <v>20</v>
      </c>
      <c r="L7">
        <v>188</v>
      </c>
      <c r="M7">
        <v>45</v>
      </c>
      <c r="N7">
        <f t="shared" si="0"/>
        <v>103.4</v>
      </c>
      <c r="O7">
        <f t="shared" si="1"/>
        <v>188</v>
      </c>
      <c r="P7">
        <v>0</v>
      </c>
      <c r="Q7" s="2">
        <v>82042000</v>
      </c>
    </row>
    <row r="8" spans="1:17" x14ac:dyDescent="0.25">
      <c r="A8">
        <v>2</v>
      </c>
      <c r="B8" t="s">
        <v>16</v>
      </c>
      <c r="C8">
        <v>1</v>
      </c>
      <c r="D8" s="1"/>
      <c r="E8" t="s">
        <v>31</v>
      </c>
      <c r="F8" t="s">
        <v>31</v>
      </c>
      <c r="G8" t="s">
        <v>31</v>
      </c>
      <c r="H8" t="s">
        <v>18</v>
      </c>
      <c r="I8" t="s">
        <v>32</v>
      </c>
      <c r="J8">
        <v>2</v>
      </c>
      <c r="K8" t="s">
        <v>20</v>
      </c>
      <c r="L8">
        <v>190</v>
      </c>
      <c r="M8">
        <v>45</v>
      </c>
      <c r="N8">
        <f t="shared" si="0"/>
        <v>104.5</v>
      </c>
      <c r="O8">
        <f t="shared" si="1"/>
        <v>190</v>
      </c>
      <c r="P8">
        <v>0</v>
      </c>
      <c r="Q8" s="2">
        <v>82042000</v>
      </c>
    </row>
    <row r="9" spans="1:17" x14ac:dyDescent="0.25">
      <c r="A9">
        <v>2</v>
      </c>
      <c r="B9" t="s">
        <v>16</v>
      </c>
      <c r="C9">
        <v>1</v>
      </c>
      <c r="D9" s="1"/>
      <c r="E9" t="s">
        <v>33</v>
      </c>
      <c r="F9" t="s">
        <v>33</v>
      </c>
      <c r="G9" t="s">
        <v>33</v>
      </c>
      <c r="H9" t="s">
        <v>34</v>
      </c>
      <c r="I9" t="s">
        <v>34</v>
      </c>
      <c r="J9">
        <v>2</v>
      </c>
      <c r="K9" s="1"/>
      <c r="L9">
        <v>4350</v>
      </c>
      <c r="M9" s="1"/>
      <c r="N9">
        <f t="shared" si="0"/>
        <v>4350</v>
      </c>
      <c r="O9">
        <f t="shared" si="1"/>
        <v>4350</v>
      </c>
      <c r="P9" s="1"/>
      <c r="Q9" s="5"/>
    </row>
    <row r="10" spans="1:17" x14ac:dyDescent="0.25">
      <c r="A10">
        <v>2</v>
      </c>
      <c r="B10" t="s">
        <v>16</v>
      </c>
      <c r="C10">
        <v>1</v>
      </c>
      <c r="D10" s="1"/>
      <c r="E10" t="s">
        <v>35</v>
      </c>
      <c r="F10" t="s">
        <v>35</v>
      </c>
      <c r="G10" t="s">
        <v>35</v>
      </c>
      <c r="H10" t="s">
        <v>36</v>
      </c>
      <c r="I10" t="s">
        <v>37</v>
      </c>
      <c r="J10">
        <v>2</v>
      </c>
      <c r="K10" t="s">
        <v>20</v>
      </c>
      <c r="L10">
        <v>41</v>
      </c>
      <c r="M10">
        <v>45</v>
      </c>
      <c r="N10">
        <f t="shared" si="0"/>
        <v>22.55</v>
      </c>
      <c r="O10">
        <f t="shared" si="1"/>
        <v>41</v>
      </c>
      <c r="P10">
        <v>0</v>
      </c>
      <c r="Q10" s="2">
        <v>82041110</v>
      </c>
    </row>
    <row r="11" spans="1:17" x14ac:dyDescent="0.25">
      <c r="A11">
        <v>2</v>
      </c>
      <c r="B11" t="s">
        <v>16</v>
      </c>
      <c r="C11">
        <v>1</v>
      </c>
      <c r="D11" s="1"/>
      <c r="E11" t="s">
        <v>38</v>
      </c>
      <c r="F11" t="s">
        <v>38</v>
      </c>
      <c r="G11" t="s">
        <v>38</v>
      </c>
      <c r="H11" t="s">
        <v>36</v>
      </c>
      <c r="I11" t="s">
        <v>39</v>
      </c>
      <c r="J11">
        <v>2</v>
      </c>
      <c r="K11" t="s">
        <v>20</v>
      </c>
      <c r="L11">
        <v>47</v>
      </c>
      <c r="M11">
        <v>45</v>
      </c>
      <c r="N11">
        <f t="shared" si="0"/>
        <v>25.85</v>
      </c>
      <c r="O11">
        <f t="shared" si="1"/>
        <v>47</v>
      </c>
      <c r="P11">
        <v>0</v>
      </c>
      <c r="Q11" s="2">
        <v>82041110</v>
      </c>
    </row>
    <row r="12" spans="1:17" x14ac:dyDescent="0.25">
      <c r="A12">
        <v>2</v>
      </c>
      <c r="B12" t="s">
        <v>16</v>
      </c>
      <c r="C12">
        <v>1</v>
      </c>
      <c r="D12" s="1"/>
      <c r="E12" t="s">
        <v>40</v>
      </c>
      <c r="F12" t="s">
        <v>40</v>
      </c>
      <c r="G12" t="s">
        <v>40</v>
      </c>
      <c r="H12" t="s">
        <v>36</v>
      </c>
      <c r="I12" t="s">
        <v>41</v>
      </c>
      <c r="J12">
        <v>2</v>
      </c>
      <c r="K12" t="s">
        <v>20</v>
      </c>
      <c r="L12">
        <v>58</v>
      </c>
      <c r="M12">
        <v>45</v>
      </c>
      <c r="N12">
        <f t="shared" si="0"/>
        <v>31.9</v>
      </c>
      <c r="O12">
        <f t="shared" si="1"/>
        <v>58</v>
      </c>
      <c r="P12">
        <v>0</v>
      </c>
      <c r="Q12" s="2">
        <v>82041110</v>
      </c>
    </row>
    <row r="13" spans="1:17" x14ac:dyDescent="0.25">
      <c r="A13">
        <v>2</v>
      </c>
      <c r="B13" t="s">
        <v>16</v>
      </c>
      <c r="C13">
        <v>1</v>
      </c>
      <c r="D13" s="1"/>
      <c r="E13" t="s">
        <v>42</v>
      </c>
      <c r="F13" t="s">
        <v>42</v>
      </c>
      <c r="G13" t="s">
        <v>42</v>
      </c>
      <c r="H13" t="s">
        <v>43</v>
      </c>
      <c r="I13" t="s">
        <v>44</v>
      </c>
      <c r="J13">
        <v>2</v>
      </c>
      <c r="K13" t="s">
        <v>20</v>
      </c>
      <c r="L13">
        <v>200</v>
      </c>
      <c r="M13">
        <v>45</v>
      </c>
      <c r="N13">
        <f t="shared" si="0"/>
        <v>110</v>
      </c>
      <c r="O13">
        <f t="shared" si="1"/>
        <v>200</v>
      </c>
      <c r="P13">
        <v>0</v>
      </c>
      <c r="Q13" s="2">
        <v>90173029</v>
      </c>
    </row>
    <row r="14" spans="1:17" x14ac:dyDescent="0.25">
      <c r="A14">
        <v>2</v>
      </c>
      <c r="B14" t="s">
        <v>16</v>
      </c>
      <c r="C14">
        <v>1</v>
      </c>
      <c r="D14" s="1"/>
      <c r="E14" t="s">
        <v>45</v>
      </c>
      <c r="F14" t="s">
        <v>45</v>
      </c>
      <c r="G14" t="s">
        <v>45</v>
      </c>
      <c r="H14" t="s">
        <v>46</v>
      </c>
      <c r="I14" t="s">
        <v>47</v>
      </c>
      <c r="J14">
        <v>2</v>
      </c>
      <c r="K14" t="s">
        <v>20</v>
      </c>
      <c r="L14">
        <v>366</v>
      </c>
      <c r="M14">
        <v>45</v>
      </c>
      <c r="N14">
        <f t="shared" si="0"/>
        <v>201.3</v>
      </c>
      <c r="O14">
        <f t="shared" si="1"/>
        <v>366</v>
      </c>
      <c r="P14">
        <v>0</v>
      </c>
      <c r="Q14" s="2">
        <v>82032000</v>
      </c>
    </row>
    <row r="15" spans="1:17" x14ac:dyDescent="0.25">
      <c r="A15">
        <v>2</v>
      </c>
      <c r="B15" t="s">
        <v>16</v>
      </c>
      <c r="C15">
        <v>1</v>
      </c>
      <c r="D15" s="1"/>
      <c r="E15" t="s">
        <v>48</v>
      </c>
      <c r="F15" t="s">
        <v>48</v>
      </c>
      <c r="G15" t="s">
        <v>48</v>
      </c>
      <c r="H15" t="s">
        <v>49</v>
      </c>
      <c r="I15" t="s">
        <v>50</v>
      </c>
      <c r="J15">
        <v>2</v>
      </c>
      <c r="K15" t="s">
        <v>20</v>
      </c>
      <c r="L15">
        <v>617</v>
      </c>
      <c r="M15">
        <v>45</v>
      </c>
      <c r="N15">
        <f t="shared" si="0"/>
        <v>339.35</v>
      </c>
      <c r="O15">
        <f t="shared" si="1"/>
        <v>617</v>
      </c>
      <c r="P15">
        <v>0</v>
      </c>
      <c r="Q15" s="2">
        <v>82032000</v>
      </c>
    </row>
    <row r="16" spans="1:17" x14ac:dyDescent="0.25">
      <c r="A16">
        <v>2</v>
      </c>
      <c r="B16" t="s">
        <v>16</v>
      </c>
      <c r="C16">
        <v>1</v>
      </c>
      <c r="D16" s="1"/>
      <c r="E16" s="1"/>
      <c r="F16" s="1"/>
      <c r="G16" s="1"/>
      <c r="H16" t="s">
        <v>51</v>
      </c>
      <c r="I16" t="s">
        <v>52</v>
      </c>
      <c r="J16">
        <v>2</v>
      </c>
      <c r="K16" s="1"/>
      <c r="L16">
        <v>135</v>
      </c>
      <c r="M16" s="1"/>
      <c r="N16">
        <f t="shared" si="0"/>
        <v>135</v>
      </c>
      <c r="O16">
        <f t="shared" si="1"/>
        <v>135</v>
      </c>
      <c r="P16" s="1"/>
      <c r="Q16" s="5"/>
    </row>
    <row r="17" spans="1:17" x14ac:dyDescent="0.25">
      <c r="A17">
        <v>2</v>
      </c>
      <c r="B17" t="s">
        <v>16</v>
      </c>
      <c r="C17">
        <v>1</v>
      </c>
      <c r="D17" s="1"/>
      <c r="E17" t="s">
        <v>53</v>
      </c>
      <c r="F17" t="s">
        <v>53</v>
      </c>
      <c r="G17" t="s">
        <v>53</v>
      </c>
      <c r="H17" t="s">
        <v>54</v>
      </c>
      <c r="I17" t="s">
        <v>55</v>
      </c>
      <c r="J17">
        <v>2</v>
      </c>
      <c r="K17" t="s">
        <v>20</v>
      </c>
      <c r="L17">
        <v>679</v>
      </c>
      <c r="M17">
        <v>45</v>
      </c>
      <c r="N17">
        <f t="shared" si="0"/>
        <v>373.45</v>
      </c>
      <c r="O17">
        <f t="shared" si="1"/>
        <v>679</v>
      </c>
      <c r="P17">
        <v>0</v>
      </c>
      <c r="Q17" s="2">
        <v>82052000</v>
      </c>
    </row>
    <row r="18" spans="1:17" x14ac:dyDescent="0.25">
      <c r="A18">
        <v>2</v>
      </c>
      <c r="B18" t="s">
        <v>16</v>
      </c>
      <c r="C18">
        <v>1</v>
      </c>
      <c r="D18" s="1"/>
      <c r="E18" t="s">
        <v>56</v>
      </c>
      <c r="F18" t="s">
        <v>56</v>
      </c>
      <c r="G18" t="s">
        <v>56</v>
      </c>
      <c r="H18" t="s">
        <v>57</v>
      </c>
      <c r="I18" t="s">
        <v>58</v>
      </c>
      <c r="J18">
        <v>2</v>
      </c>
      <c r="K18" t="s">
        <v>20</v>
      </c>
      <c r="L18">
        <v>148</v>
      </c>
      <c r="M18">
        <v>45</v>
      </c>
      <c r="N18">
        <f t="shared" si="0"/>
        <v>81.400000000000006</v>
      </c>
      <c r="O18">
        <f t="shared" si="1"/>
        <v>148</v>
      </c>
      <c r="P18">
        <v>0</v>
      </c>
      <c r="Q18" s="2">
        <v>82042000</v>
      </c>
    </row>
    <row r="19" spans="1:17" x14ac:dyDescent="0.25">
      <c r="A19">
        <v>2</v>
      </c>
      <c r="B19" t="s">
        <v>16</v>
      </c>
      <c r="C19">
        <v>1</v>
      </c>
      <c r="D19" s="1"/>
      <c r="E19" t="s">
        <v>59</v>
      </c>
      <c r="F19" t="s">
        <v>59</v>
      </c>
      <c r="G19" t="s">
        <v>59</v>
      </c>
      <c r="H19" t="s">
        <v>60</v>
      </c>
      <c r="I19" t="s">
        <v>61</v>
      </c>
      <c r="J19">
        <v>2</v>
      </c>
      <c r="K19" t="s">
        <v>20</v>
      </c>
      <c r="L19">
        <v>148</v>
      </c>
      <c r="M19">
        <v>45</v>
      </c>
      <c r="N19">
        <f t="shared" si="0"/>
        <v>81.400000000000006</v>
      </c>
      <c r="O19">
        <f t="shared" si="1"/>
        <v>148</v>
      </c>
      <c r="P19">
        <v>0</v>
      </c>
      <c r="Q19" s="2">
        <v>82042000</v>
      </c>
    </row>
    <row r="20" spans="1:17" x14ac:dyDescent="0.25">
      <c r="A20">
        <v>2</v>
      </c>
      <c r="B20" t="s">
        <v>16</v>
      </c>
      <c r="C20">
        <v>1</v>
      </c>
      <c r="D20" s="1"/>
      <c r="E20" t="s">
        <v>62</v>
      </c>
      <c r="F20" t="s">
        <v>62</v>
      </c>
      <c r="G20" t="s">
        <v>62</v>
      </c>
      <c r="H20" t="s">
        <v>63</v>
      </c>
      <c r="I20" t="s">
        <v>64</v>
      </c>
      <c r="J20">
        <v>2</v>
      </c>
      <c r="K20" t="s">
        <v>20</v>
      </c>
      <c r="L20">
        <v>148</v>
      </c>
      <c r="M20">
        <v>45</v>
      </c>
      <c r="N20">
        <f t="shared" si="0"/>
        <v>81.400000000000006</v>
      </c>
      <c r="O20">
        <f t="shared" si="1"/>
        <v>148</v>
      </c>
      <c r="P20">
        <v>0</v>
      </c>
      <c r="Q20" s="2">
        <v>82042000</v>
      </c>
    </row>
    <row r="21" spans="1:17" x14ac:dyDescent="0.25">
      <c r="A21">
        <v>2</v>
      </c>
      <c r="B21" t="s">
        <v>16</v>
      </c>
      <c r="C21">
        <v>1</v>
      </c>
      <c r="D21" s="1"/>
      <c r="E21" t="s">
        <v>65</v>
      </c>
      <c r="F21" t="s">
        <v>65</v>
      </c>
      <c r="G21" t="s">
        <v>65</v>
      </c>
      <c r="H21" t="s">
        <v>66</v>
      </c>
      <c r="I21" t="s">
        <v>67</v>
      </c>
      <c r="J21">
        <v>2</v>
      </c>
      <c r="K21" s="1"/>
      <c r="L21">
        <v>148</v>
      </c>
      <c r="M21" s="1"/>
      <c r="N21">
        <f t="shared" si="0"/>
        <v>148</v>
      </c>
      <c r="O21">
        <f t="shared" si="1"/>
        <v>148</v>
      </c>
      <c r="P21" s="1"/>
      <c r="Q21" s="5"/>
    </row>
    <row r="22" spans="1:17" x14ac:dyDescent="0.25">
      <c r="A22">
        <v>2</v>
      </c>
      <c r="B22" t="s">
        <v>16</v>
      </c>
      <c r="C22">
        <v>1</v>
      </c>
      <c r="D22" s="1"/>
      <c r="E22" t="s">
        <v>68</v>
      </c>
      <c r="F22" t="s">
        <v>68</v>
      </c>
      <c r="G22" t="s">
        <v>68</v>
      </c>
      <c r="H22" t="s">
        <v>69</v>
      </c>
      <c r="I22" t="s">
        <v>70</v>
      </c>
      <c r="J22">
        <v>2</v>
      </c>
      <c r="K22" t="s">
        <v>20</v>
      </c>
      <c r="L22">
        <v>148</v>
      </c>
      <c r="M22">
        <v>45</v>
      </c>
      <c r="N22">
        <f t="shared" si="0"/>
        <v>81.400000000000006</v>
      </c>
      <c r="O22">
        <f t="shared" si="1"/>
        <v>148</v>
      </c>
      <c r="P22">
        <v>0</v>
      </c>
      <c r="Q22" s="2">
        <v>82042000</v>
      </c>
    </row>
    <row r="23" spans="1:17" x14ac:dyDescent="0.25">
      <c r="A23">
        <v>2</v>
      </c>
      <c r="B23" t="s">
        <v>16</v>
      </c>
      <c r="C23">
        <v>1</v>
      </c>
      <c r="D23" s="1"/>
      <c r="E23" t="s">
        <v>71</v>
      </c>
      <c r="F23" t="s">
        <v>71</v>
      </c>
      <c r="G23" t="s">
        <v>71</v>
      </c>
      <c r="H23" t="s">
        <v>72</v>
      </c>
      <c r="I23" t="s">
        <v>73</v>
      </c>
      <c r="J23">
        <v>2</v>
      </c>
      <c r="K23" t="s">
        <v>20</v>
      </c>
      <c r="L23">
        <v>32</v>
      </c>
      <c r="M23">
        <v>45</v>
      </c>
      <c r="N23">
        <f t="shared" si="0"/>
        <v>17.600000000000001</v>
      </c>
      <c r="O23">
        <f t="shared" si="1"/>
        <v>32</v>
      </c>
      <c r="P23">
        <v>0</v>
      </c>
      <c r="Q23" s="2">
        <v>82041110</v>
      </c>
    </row>
    <row r="24" spans="1:17" x14ac:dyDescent="0.25">
      <c r="A24">
        <v>2</v>
      </c>
      <c r="B24" t="s">
        <v>16</v>
      </c>
      <c r="C24">
        <v>1</v>
      </c>
      <c r="D24" s="1"/>
      <c r="E24" t="s">
        <v>74</v>
      </c>
      <c r="F24" t="s">
        <v>74</v>
      </c>
      <c r="G24" t="s">
        <v>74</v>
      </c>
      <c r="H24" t="s">
        <v>75</v>
      </c>
      <c r="I24" t="s">
        <v>76</v>
      </c>
      <c r="J24">
        <v>2</v>
      </c>
      <c r="K24" t="s">
        <v>20</v>
      </c>
      <c r="L24">
        <v>71</v>
      </c>
      <c r="M24">
        <v>45</v>
      </c>
      <c r="N24">
        <f t="shared" si="0"/>
        <v>39.049999999999997</v>
      </c>
      <c r="O24">
        <f t="shared" si="1"/>
        <v>71</v>
      </c>
      <c r="P24">
        <v>0</v>
      </c>
      <c r="Q24" s="2">
        <v>82041110</v>
      </c>
    </row>
    <row r="25" spans="1:17" x14ac:dyDescent="0.25">
      <c r="A25">
        <v>2</v>
      </c>
      <c r="B25" t="s">
        <v>16</v>
      </c>
      <c r="C25">
        <v>1</v>
      </c>
      <c r="D25" s="1"/>
      <c r="E25" t="s">
        <v>77</v>
      </c>
      <c r="F25" t="s">
        <v>77</v>
      </c>
      <c r="G25" t="s">
        <v>77</v>
      </c>
      <c r="H25" t="s">
        <v>75</v>
      </c>
      <c r="I25" t="s">
        <v>78</v>
      </c>
      <c r="J25">
        <v>2</v>
      </c>
      <c r="K25" t="s">
        <v>20</v>
      </c>
      <c r="L25">
        <v>88</v>
      </c>
      <c r="M25">
        <v>45</v>
      </c>
      <c r="N25">
        <f t="shared" si="0"/>
        <v>48.4</v>
      </c>
      <c r="O25">
        <f t="shared" si="1"/>
        <v>88</v>
      </c>
      <c r="P25">
        <v>0</v>
      </c>
      <c r="Q25" s="2">
        <v>82041110</v>
      </c>
    </row>
    <row r="26" spans="1:17" x14ac:dyDescent="0.25">
      <c r="A26">
        <v>2</v>
      </c>
      <c r="B26" t="s">
        <v>16</v>
      </c>
      <c r="C26">
        <v>1</v>
      </c>
      <c r="D26" s="1"/>
      <c r="E26" t="s">
        <v>79</v>
      </c>
      <c r="F26" t="s">
        <v>79</v>
      </c>
      <c r="G26" t="s">
        <v>79</v>
      </c>
      <c r="H26" t="s">
        <v>80</v>
      </c>
      <c r="I26" t="s">
        <v>81</v>
      </c>
      <c r="J26">
        <v>2</v>
      </c>
      <c r="K26" t="s">
        <v>20</v>
      </c>
      <c r="L26">
        <v>198</v>
      </c>
      <c r="M26">
        <v>45</v>
      </c>
      <c r="N26">
        <f t="shared" si="0"/>
        <v>108.9</v>
      </c>
      <c r="O26">
        <f t="shared" si="1"/>
        <v>198</v>
      </c>
      <c r="P26">
        <v>0</v>
      </c>
      <c r="Q26" s="2">
        <v>82042000</v>
      </c>
    </row>
    <row r="27" spans="1:17" x14ac:dyDescent="0.25">
      <c r="A27">
        <v>2</v>
      </c>
      <c r="B27" t="s">
        <v>16</v>
      </c>
      <c r="C27">
        <v>1</v>
      </c>
      <c r="D27" s="1"/>
      <c r="E27" t="s">
        <v>82</v>
      </c>
      <c r="F27" t="s">
        <v>82</v>
      </c>
      <c r="G27" t="s">
        <v>82</v>
      </c>
      <c r="H27" t="s">
        <v>83</v>
      </c>
      <c r="I27" t="s">
        <v>84</v>
      </c>
      <c r="J27">
        <v>2</v>
      </c>
      <c r="K27" t="s">
        <v>20</v>
      </c>
      <c r="L27">
        <v>336</v>
      </c>
      <c r="M27">
        <v>45</v>
      </c>
      <c r="N27">
        <f t="shared" si="0"/>
        <v>184.8</v>
      </c>
      <c r="O27">
        <f t="shared" si="1"/>
        <v>336</v>
      </c>
      <c r="P27">
        <v>0</v>
      </c>
      <c r="Q27" s="2">
        <v>82042000</v>
      </c>
    </row>
    <row r="28" spans="1:17" x14ac:dyDescent="0.25">
      <c r="A28">
        <v>2</v>
      </c>
      <c r="B28" t="s">
        <v>16</v>
      </c>
      <c r="C28">
        <v>1</v>
      </c>
      <c r="D28" s="1"/>
      <c r="E28" t="s">
        <v>85</v>
      </c>
      <c r="F28" t="s">
        <v>85</v>
      </c>
      <c r="G28" t="s">
        <v>85</v>
      </c>
      <c r="H28" t="s">
        <v>86</v>
      </c>
      <c r="I28" t="s">
        <v>87</v>
      </c>
      <c r="J28">
        <v>2</v>
      </c>
      <c r="K28" t="s">
        <v>20</v>
      </c>
      <c r="L28">
        <v>388</v>
      </c>
      <c r="M28">
        <v>45</v>
      </c>
      <c r="N28">
        <f t="shared" si="0"/>
        <v>213.4</v>
      </c>
      <c r="O28">
        <f t="shared" si="1"/>
        <v>388</v>
      </c>
      <c r="P28">
        <v>0</v>
      </c>
      <c r="Q28" s="2">
        <v>82042000</v>
      </c>
    </row>
    <row r="29" spans="1:17" x14ac:dyDescent="0.25">
      <c r="A29">
        <v>2</v>
      </c>
      <c r="B29" t="s">
        <v>16</v>
      </c>
      <c r="C29">
        <v>1</v>
      </c>
      <c r="D29" s="1"/>
      <c r="E29" t="s">
        <v>88</v>
      </c>
      <c r="F29" t="s">
        <v>88</v>
      </c>
      <c r="G29" t="s">
        <v>88</v>
      </c>
      <c r="H29" t="s">
        <v>89</v>
      </c>
      <c r="I29" t="s">
        <v>90</v>
      </c>
      <c r="J29">
        <v>2</v>
      </c>
      <c r="K29" t="s">
        <v>20</v>
      </c>
      <c r="L29">
        <v>295</v>
      </c>
      <c r="M29">
        <v>45</v>
      </c>
      <c r="N29">
        <f t="shared" si="0"/>
        <v>162.25</v>
      </c>
      <c r="O29">
        <f t="shared" si="1"/>
        <v>295</v>
      </c>
      <c r="P29">
        <v>0</v>
      </c>
      <c r="Q29" s="2">
        <v>82042000</v>
      </c>
    </row>
    <row r="30" spans="1:17" x14ac:dyDescent="0.25">
      <c r="A30">
        <v>2</v>
      </c>
      <c r="B30" t="s">
        <v>16</v>
      </c>
      <c r="C30">
        <v>1</v>
      </c>
      <c r="D30" s="1"/>
      <c r="E30" s="1"/>
      <c r="F30" s="1"/>
      <c r="G30" s="1"/>
      <c r="H30" t="s">
        <v>91</v>
      </c>
      <c r="I30" t="s">
        <v>91</v>
      </c>
      <c r="J30">
        <v>2</v>
      </c>
      <c r="K30" s="1"/>
      <c r="L30">
        <v>325</v>
      </c>
      <c r="M30" s="1"/>
      <c r="N30">
        <f t="shared" si="0"/>
        <v>325</v>
      </c>
      <c r="O30">
        <f t="shared" si="1"/>
        <v>325</v>
      </c>
      <c r="P30" s="1"/>
      <c r="Q30" s="5"/>
    </row>
    <row r="31" spans="1:17" x14ac:dyDescent="0.25">
      <c r="A31">
        <v>2</v>
      </c>
      <c r="B31" t="s">
        <v>16</v>
      </c>
      <c r="C31">
        <v>1</v>
      </c>
      <c r="D31" s="1"/>
      <c r="E31" t="s">
        <v>92</v>
      </c>
      <c r="F31" t="s">
        <v>92</v>
      </c>
      <c r="G31" t="s">
        <v>92</v>
      </c>
      <c r="H31" t="s">
        <v>93</v>
      </c>
      <c r="I31" t="s">
        <v>94</v>
      </c>
      <c r="J31">
        <v>2</v>
      </c>
      <c r="K31" t="s">
        <v>20</v>
      </c>
      <c r="L31">
        <v>396</v>
      </c>
      <c r="M31">
        <v>45</v>
      </c>
      <c r="N31">
        <f t="shared" si="0"/>
        <v>217.8</v>
      </c>
      <c r="O31">
        <f t="shared" si="1"/>
        <v>396</v>
      </c>
      <c r="P31">
        <v>0</v>
      </c>
      <c r="Q31" s="2">
        <v>82041120</v>
      </c>
    </row>
    <row r="32" spans="1:17" x14ac:dyDescent="0.25">
      <c r="A32">
        <v>2</v>
      </c>
      <c r="B32" t="s">
        <v>16</v>
      </c>
      <c r="C32">
        <v>1</v>
      </c>
      <c r="D32" s="1"/>
      <c r="E32" s="1"/>
      <c r="F32" s="1"/>
      <c r="G32" s="1"/>
      <c r="H32" t="s">
        <v>95</v>
      </c>
      <c r="I32" t="s">
        <v>95</v>
      </c>
      <c r="J32">
        <v>2</v>
      </c>
      <c r="K32" s="1"/>
      <c r="L32">
        <v>250</v>
      </c>
      <c r="M32" s="1"/>
      <c r="N32">
        <f t="shared" si="0"/>
        <v>250</v>
      </c>
      <c r="O32">
        <f t="shared" si="1"/>
        <v>250</v>
      </c>
      <c r="P32" s="1"/>
      <c r="Q32" s="5"/>
    </row>
    <row r="33" spans="1:17" x14ac:dyDescent="0.25">
      <c r="A33">
        <v>2</v>
      </c>
      <c r="B33" t="s">
        <v>16</v>
      </c>
      <c r="C33">
        <v>1</v>
      </c>
      <c r="D33" s="1"/>
      <c r="E33" t="s">
        <v>96</v>
      </c>
      <c r="F33" t="s">
        <v>96</v>
      </c>
      <c r="G33" t="s">
        <v>96</v>
      </c>
      <c r="H33" t="s">
        <v>75</v>
      </c>
      <c r="I33" t="s">
        <v>97</v>
      </c>
      <c r="J33">
        <v>2</v>
      </c>
      <c r="K33" t="s">
        <v>98</v>
      </c>
      <c r="L33">
        <v>2340</v>
      </c>
      <c r="M33">
        <v>38</v>
      </c>
      <c r="N33">
        <f t="shared" si="0"/>
        <v>1450.8</v>
      </c>
      <c r="O33">
        <f t="shared" si="1"/>
        <v>2340</v>
      </c>
      <c r="P33">
        <v>0</v>
      </c>
      <c r="Q33" s="2">
        <v>82041110</v>
      </c>
    </row>
    <row r="34" spans="1:17" x14ac:dyDescent="0.25">
      <c r="A34">
        <v>2</v>
      </c>
      <c r="B34" t="s">
        <v>16</v>
      </c>
      <c r="C34">
        <v>1</v>
      </c>
      <c r="D34" s="1"/>
      <c r="E34" t="s">
        <v>99</v>
      </c>
      <c r="F34" t="s">
        <v>99</v>
      </c>
      <c r="G34" t="s">
        <v>99</v>
      </c>
      <c r="H34" t="s">
        <v>100</v>
      </c>
      <c r="I34" t="s">
        <v>101</v>
      </c>
      <c r="J34">
        <v>2</v>
      </c>
      <c r="K34" t="s">
        <v>98</v>
      </c>
      <c r="L34">
        <v>1039</v>
      </c>
      <c r="M34">
        <v>38</v>
      </c>
      <c r="N34">
        <f t="shared" si="0"/>
        <v>644.18000000000006</v>
      </c>
      <c r="O34">
        <f t="shared" si="1"/>
        <v>1039</v>
      </c>
      <c r="P34">
        <v>0</v>
      </c>
      <c r="Q34" s="2">
        <v>82041110</v>
      </c>
    </row>
    <row r="35" spans="1:17" x14ac:dyDescent="0.25">
      <c r="A35">
        <v>2</v>
      </c>
      <c r="B35" t="s">
        <v>16</v>
      </c>
      <c r="C35">
        <v>1</v>
      </c>
      <c r="D35" s="1"/>
      <c r="E35" t="s">
        <v>102</v>
      </c>
      <c r="F35" t="s">
        <v>102</v>
      </c>
      <c r="G35" t="s">
        <v>102</v>
      </c>
      <c r="H35" t="s">
        <v>80</v>
      </c>
      <c r="I35" t="s">
        <v>103</v>
      </c>
      <c r="J35">
        <v>2</v>
      </c>
      <c r="K35" t="s">
        <v>98</v>
      </c>
      <c r="L35">
        <v>204</v>
      </c>
      <c r="M35">
        <v>38</v>
      </c>
      <c r="N35">
        <f t="shared" si="0"/>
        <v>126.48</v>
      </c>
      <c r="O35">
        <f t="shared" si="1"/>
        <v>204</v>
      </c>
      <c r="P35">
        <v>0</v>
      </c>
      <c r="Q35" s="2">
        <v>82042000</v>
      </c>
    </row>
    <row r="36" spans="1:17" x14ac:dyDescent="0.25">
      <c r="A36">
        <v>2</v>
      </c>
      <c r="B36" t="s">
        <v>16</v>
      </c>
      <c r="C36">
        <v>1</v>
      </c>
      <c r="D36" s="1"/>
      <c r="E36" t="s">
        <v>104</v>
      </c>
      <c r="F36" t="s">
        <v>104</v>
      </c>
      <c r="G36" t="s">
        <v>104</v>
      </c>
      <c r="H36" t="s">
        <v>80</v>
      </c>
      <c r="I36" t="s">
        <v>105</v>
      </c>
      <c r="J36">
        <v>2</v>
      </c>
      <c r="K36" t="s">
        <v>98</v>
      </c>
      <c r="L36">
        <v>207</v>
      </c>
      <c r="M36">
        <v>38</v>
      </c>
      <c r="N36">
        <f t="shared" si="0"/>
        <v>128.34</v>
      </c>
      <c r="O36">
        <f t="shared" si="1"/>
        <v>207</v>
      </c>
      <c r="P36">
        <v>0</v>
      </c>
      <c r="Q36" s="2">
        <v>82042000</v>
      </c>
    </row>
    <row r="37" spans="1:17" x14ac:dyDescent="0.25">
      <c r="A37">
        <v>2</v>
      </c>
      <c r="B37" t="s">
        <v>16</v>
      </c>
      <c r="C37">
        <v>1</v>
      </c>
      <c r="D37" s="1"/>
      <c r="E37" t="s">
        <v>106</v>
      </c>
      <c r="F37" t="s">
        <v>106</v>
      </c>
      <c r="G37" t="s">
        <v>106</v>
      </c>
      <c r="H37" t="s">
        <v>80</v>
      </c>
      <c r="I37" t="s">
        <v>107</v>
      </c>
      <c r="J37">
        <v>2</v>
      </c>
      <c r="K37" t="s">
        <v>98</v>
      </c>
      <c r="L37">
        <v>210</v>
      </c>
      <c r="M37">
        <v>38</v>
      </c>
      <c r="N37">
        <f t="shared" si="0"/>
        <v>130.19999999999999</v>
      </c>
      <c r="O37">
        <f t="shared" si="1"/>
        <v>210</v>
      </c>
      <c r="P37">
        <v>0</v>
      </c>
      <c r="Q37" s="2">
        <v>82042000</v>
      </c>
    </row>
    <row r="38" spans="1:17" x14ac:dyDescent="0.25">
      <c r="A38">
        <v>2</v>
      </c>
      <c r="B38" t="s">
        <v>16</v>
      </c>
      <c r="C38">
        <v>1</v>
      </c>
      <c r="D38" s="1"/>
      <c r="E38" t="s">
        <v>108</v>
      </c>
      <c r="F38" t="s">
        <v>108</v>
      </c>
      <c r="G38" t="s">
        <v>108</v>
      </c>
      <c r="H38" t="s">
        <v>80</v>
      </c>
      <c r="I38" t="s">
        <v>109</v>
      </c>
      <c r="J38">
        <v>2</v>
      </c>
      <c r="K38" t="s">
        <v>98</v>
      </c>
      <c r="L38">
        <v>215</v>
      </c>
      <c r="M38">
        <v>38</v>
      </c>
      <c r="N38">
        <f t="shared" si="0"/>
        <v>133.30000000000001</v>
      </c>
      <c r="O38">
        <f t="shared" si="1"/>
        <v>215</v>
      </c>
      <c r="P38">
        <v>0</v>
      </c>
      <c r="Q38" s="2">
        <v>82042000</v>
      </c>
    </row>
    <row r="39" spans="1:17" x14ac:dyDescent="0.25">
      <c r="A39">
        <v>2</v>
      </c>
      <c r="B39" t="s">
        <v>16</v>
      </c>
      <c r="C39">
        <v>1</v>
      </c>
      <c r="D39" s="1"/>
      <c r="E39" t="s">
        <v>110</v>
      </c>
      <c r="F39" t="s">
        <v>110</v>
      </c>
      <c r="G39" t="s">
        <v>110</v>
      </c>
      <c r="H39" t="s">
        <v>80</v>
      </c>
      <c r="I39" t="s">
        <v>111</v>
      </c>
      <c r="J39">
        <v>2</v>
      </c>
      <c r="K39" t="s">
        <v>98</v>
      </c>
      <c r="L39">
        <v>218</v>
      </c>
      <c r="M39">
        <v>38</v>
      </c>
      <c r="N39">
        <f t="shared" si="0"/>
        <v>135.16</v>
      </c>
      <c r="O39">
        <f t="shared" si="1"/>
        <v>218</v>
      </c>
      <c r="P39">
        <v>0</v>
      </c>
      <c r="Q39" s="2">
        <v>82042000</v>
      </c>
    </row>
    <row r="40" spans="1:17" x14ac:dyDescent="0.25">
      <c r="A40">
        <v>2</v>
      </c>
      <c r="B40" t="s">
        <v>16</v>
      </c>
      <c r="C40">
        <v>1</v>
      </c>
      <c r="D40" s="1"/>
      <c r="E40" t="s">
        <v>112</v>
      </c>
      <c r="F40" t="s">
        <v>112</v>
      </c>
      <c r="G40" t="s">
        <v>112</v>
      </c>
      <c r="H40" t="s">
        <v>80</v>
      </c>
      <c r="I40" t="s">
        <v>113</v>
      </c>
      <c r="J40">
        <v>2</v>
      </c>
      <c r="K40" t="s">
        <v>98</v>
      </c>
      <c r="L40">
        <v>219</v>
      </c>
      <c r="M40">
        <v>38</v>
      </c>
      <c r="N40">
        <f t="shared" si="0"/>
        <v>135.78</v>
      </c>
      <c r="O40">
        <f t="shared" si="1"/>
        <v>219</v>
      </c>
      <c r="P40">
        <v>0</v>
      </c>
      <c r="Q40" s="2">
        <v>82042000</v>
      </c>
    </row>
    <row r="41" spans="1:17" x14ac:dyDescent="0.25">
      <c r="A41">
        <v>2</v>
      </c>
      <c r="B41" t="s">
        <v>16</v>
      </c>
      <c r="C41">
        <v>1</v>
      </c>
      <c r="D41" s="1"/>
      <c r="E41" t="s">
        <v>114</v>
      </c>
      <c r="F41" t="s">
        <v>114</v>
      </c>
      <c r="G41" t="s">
        <v>114</v>
      </c>
      <c r="H41" t="s">
        <v>80</v>
      </c>
      <c r="I41" t="s">
        <v>115</v>
      </c>
      <c r="J41">
        <v>2</v>
      </c>
      <c r="K41" t="s">
        <v>98</v>
      </c>
      <c r="L41">
        <v>221</v>
      </c>
      <c r="M41">
        <v>38</v>
      </c>
      <c r="N41">
        <f t="shared" si="0"/>
        <v>137.01999999999998</v>
      </c>
      <c r="O41">
        <f t="shared" si="1"/>
        <v>221</v>
      </c>
      <c r="P41">
        <v>0</v>
      </c>
      <c r="Q41" s="2">
        <v>82042000</v>
      </c>
    </row>
    <row r="42" spans="1:17" x14ac:dyDescent="0.25">
      <c r="A42">
        <v>2</v>
      </c>
      <c r="B42" t="s">
        <v>16</v>
      </c>
      <c r="C42">
        <v>1</v>
      </c>
      <c r="D42" s="1"/>
      <c r="E42" t="s">
        <v>116</v>
      </c>
      <c r="F42" t="s">
        <v>116</v>
      </c>
      <c r="G42" t="s">
        <v>116</v>
      </c>
      <c r="H42" t="s">
        <v>117</v>
      </c>
      <c r="I42" t="s">
        <v>118</v>
      </c>
      <c r="J42">
        <v>2</v>
      </c>
      <c r="K42" t="s">
        <v>98</v>
      </c>
      <c r="L42">
        <v>159</v>
      </c>
      <c r="M42">
        <v>38</v>
      </c>
      <c r="N42">
        <f t="shared" si="0"/>
        <v>98.58</v>
      </c>
      <c r="O42">
        <f t="shared" si="1"/>
        <v>159</v>
      </c>
      <c r="P42">
        <v>0</v>
      </c>
      <c r="Q42" s="2">
        <v>82054000</v>
      </c>
    </row>
    <row r="43" spans="1:17" x14ac:dyDescent="0.25">
      <c r="A43">
        <v>2</v>
      </c>
      <c r="B43" t="s">
        <v>16</v>
      </c>
      <c r="C43">
        <v>1</v>
      </c>
      <c r="D43" s="1"/>
      <c r="E43" t="s">
        <v>119</v>
      </c>
      <c r="F43" t="s">
        <v>119</v>
      </c>
      <c r="G43" t="s">
        <v>119</v>
      </c>
      <c r="H43" t="s">
        <v>117</v>
      </c>
      <c r="I43" t="s">
        <v>120</v>
      </c>
      <c r="J43">
        <v>2</v>
      </c>
      <c r="K43" t="s">
        <v>98</v>
      </c>
      <c r="L43">
        <v>170</v>
      </c>
      <c r="M43">
        <v>38</v>
      </c>
      <c r="N43">
        <f t="shared" si="0"/>
        <v>105.4</v>
      </c>
      <c r="O43">
        <f t="shared" si="1"/>
        <v>170</v>
      </c>
      <c r="P43">
        <v>0</v>
      </c>
      <c r="Q43" s="2">
        <v>82054000</v>
      </c>
    </row>
    <row r="44" spans="1:17" x14ac:dyDescent="0.25">
      <c r="A44">
        <v>2</v>
      </c>
      <c r="B44" t="s">
        <v>16</v>
      </c>
      <c r="C44">
        <v>1</v>
      </c>
      <c r="D44" s="1"/>
      <c r="E44" t="s">
        <v>121</v>
      </c>
      <c r="F44" t="s">
        <v>121</v>
      </c>
      <c r="G44" t="s">
        <v>121</v>
      </c>
      <c r="H44" t="s">
        <v>117</v>
      </c>
      <c r="I44" t="s">
        <v>122</v>
      </c>
      <c r="J44">
        <v>2</v>
      </c>
      <c r="K44" t="s">
        <v>98</v>
      </c>
      <c r="L44">
        <v>224</v>
      </c>
      <c r="M44">
        <v>38</v>
      </c>
      <c r="N44">
        <f t="shared" si="0"/>
        <v>138.88</v>
      </c>
      <c r="O44">
        <f t="shared" si="1"/>
        <v>224</v>
      </c>
      <c r="P44">
        <v>0</v>
      </c>
      <c r="Q44" s="2">
        <v>82054000</v>
      </c>
    </row>
    <row r="45" spans="1:17" x14ac:dyDescent="0.25">
      <c r="A45">
        <v>2</v>
      </c>
      <c r="B45" t="s">
        <v>16</v>
      </c>
      <c r="C45">
        <v>1</v>
      </c>
      <c r="D45" s="1"/>
      <c r="E45" t="s">
        <v>123</v>
      </c>
      <c r="F45" t="s">
        <v>123</v>
      </c>
      <c r="G45" t="s">
        <v>123</v>
      </c>
      <c r="H45" t="s">
        <v>117</v>
      </c>
      <c r="I45" t="s">
        <v>124</v>
      </c>
      <c r="J45">
        <v>2</v>
      </c>
      <c r="K45" t="s">
        <v>98</v>
      </c>
      <c r="L45">
        <v>115</v>
      </c>
      <c r="M45">
        <v>38</v>
      </c>
      <c r="N45">
        <f t="shared" si="0"/>
        <v>71.3</v>
      </c>
      <c r="O45">
        <f t="shared" si="1"/>
        <v>115</v>
      </c>
      <c r="P45">
        <v>0</v>
      </c>
      <c r="Q45" s="2">
        <v>82054000</v>
      </c>
    </row>
    <row r="46" spans="1:17" x14ac:dyDescent="0.25">
      <c r="A46">
        <v>2</v>
      </c>
      <c r="B46" t="s">
        <v>16</v>
      </c>
      <c r="C46">
        <v>1</v>
      </c>
      <c r="D46" s="1"/>
      <c r="E46" t="s">
        <v>125</v>
      </c>
      <c r="F46" t="s">
        <v>125</v>
      </c>
      <c r="G46" t="s">
        <v>125</v>
      </c>
      <c r="H46" t="s">
        <v>117</v>
      </c>
      <c r="I46" t="s">
        <v>126</v>
      </c>
      <c r="J46">
        <v>2</v>
      </c>
      <c r="K46" t="s">
        <v>98</v>
      </c>
      <c r="L46">
        <v>165</v>
      </c>
      <c r="M46">
        <v>38</v>
      </c>
      <c r="N46">
        <f t="shared" si="0"/>
        <v>102.3</v>
      </c>
      <c r="O46">
        <f t="shared" si="1"/>
        <v>165</v>
      </c>
      <c r="P46">
        <v>0</v>
      </c>
      <c r="Q46" s="2">
        <v>82054000</v>
      </c>
    </row>
    <row r="47" spans="1:17" x14ac:dyDescent="0.25">
      <c r="A47">
        <v>2</v>
      </c>
      <c r="B47" t="s">
        <v>16</v>
      </c>
      <c r="C47">
        <v>1</v>
      </c>
      <c r="D47" s="1"/>
      <c r="E47" t="s">
        <v>127</v>
      </c>
      <c r="F47" t="s">
        <v>127</v>
      </c>
      <c r="G47" t="s">
        <v>127</v>
      </c>
      <c r="H47" t="s">
        <v>117</v>
      </c>
      <c r="I47" t="s">
        <v>128</v>
      </c>
      <c r="J47">
        <v>2</v>
      </c>
      <c r="K47" t="s">
        <v>98</v>
      </c>
      <c r="L47">
        <v>191</v>
      </c>
      <c r="M47">
        <v>38</v>
      </c>
      <c r="N47">
        <f t="shared" si="0"/>
        <v>118.42</v>
      </c>
      <c r="O47">
        <f t="shared" si="1"/>
        <v>191</v>
      </c>
      <c r="P47">
        <v>0</v>
      </c>
      <c r="Q47" s="2">
        <v>82054000</v>
      </c>
    </row>
    <row r="48" spans="1:17" x14ac:dyDescent="0.25">
      <c r="A48">
        <v>2</v>
      </c>
      <c r="B48" t="s">
        <v>16</v>
      </c>
      <c r="C48">
        <v>1</v>
      </c>
      <c r="D48" s="1"/>
      <c r="E48" t="s">
        <v>129</v>
      </c>
      <c r="F48" t="s">
        <v>129</v>
      </c>
      <c r="G48" t="s">
        <v>129</v>
      </c>
      <c r="H48" t="s">
        <v>130</v>
      </c>
      <c r="I48" t="s">
        <v>131</v>
      </c>
      <c r="J48">
        <v>2</v>
      </c>
      <c r="K48" t="s">
        <v>98</v>
      </c>
      <c r="L48">
        <v>574</v>
      </c>
      <c r="M48">
        <v>38</v>
      </c>
      <c r="N48">
        <f t="shared" si="0"/>
        <v>355.88</v>
      </c>
      <c r="O48">
        <f t="shared" si="1"/>
        <v>574</v>
      </c>
      <c r="P48">
        <v>0</v>
      </c>
      <c r="Q48" s="2">
        <v>82052000</v>
      </c>
    </row>
    <row r="49" spans="1:17" x14ac:dyDescent="0.25">
      <c r="A49">
        <v>2</v>
      </c>
      <c r="B49" t="s">
        <v>16</v>
      </c>
      <c r="C49">
        <v>1</v>
      </c>
      <c r="D49" s="1"/>
      <c r="E49" t="s">
        <v>132</v>
      </c>
      <c r="F49" t="s">
        <v>132</v>
      </c>
      <c r="G49" t="s">
        <v>132</v>
      </c>
      <c r="H49" t="s">
        <v>133</v>
      </c>
      <c r="I49" t="s">
        <v>134</v>
      </c>
      <c r="J49">
        <v>2</v>
      </c>
      <c r="K49" t="s">
        <v>98</v>
      </c>
      <c r="L49">
        <v>335</v>
      </c>
      <c r="M49">
        <v>38</v>
      </c>
      <c r="N49">
        <f t="shared" si="0"/>
        <v>207.7</v>
      </c>
      <c r="O49">
        <f t="shared" si="1"/>
        <v>335</v>
      </c>
      <c r="P49">
        <v>0</v>
      </c>
      <c r="Q49" s="2">
        <v>82041120</v>
      </c>
    </row>
    <row r="50" spans="1:17" x14ac:dyDescent="0.25">
      <c r="A50">
        <v>2</v>
      </c>
      <c r="B50" t="s">
        <v>16</v>
      </c>
      <c r="C50">
        <v>1</v>
      </c>
      <c r="D50" s="1"/>
      <c r="E50" t="s">
        <v>135</v>
      </c>
      <c r="F50" t="s">
        <v>135</v>
      </c>
      <c r="G50" t="s">
        <v>135</v>
      </c>
      <c r="H50" t="s">
        <v>136</v>
      </c>
      <c r="I50" t="s">
        <v>137</v>
      </c>
      <c r="J50">
        <v>2</v>
      </c>
      <c r="K50" t="s">
        <v>98</v>
      </c>
      <c r="L50">
        <v>284</v>
      </c>
      <c r="M50">
        <v>38</v>
      </c>
      <c r="N50">
        <f t="shared" si="0"/>
        <v>176.07999999999998</v>
      </c>
      <c r="O50">
        <f t="shared" si="1"/>
        <v>284</v>
      </c>
      <c r="P50">
        <v>0</v>
      </c>
      <c r="Q50" s="2">
        <v>82032000</v>
      </c>
    </row>
    <row r="51" spans="1:17" x14ac:dyDescent="0.25">
      <c r="A51">
        <v>2</v>
      </c>
      <c r="B51" t="s">
        <v>16</v>
      </c>
      <c r="C51">
        <v>1</v>
      </c>
      <c r="D51" s="1"/>
      <c r="E51" t="s">
        <v>138</v>
      </c>
      <c r="F51" t="s">
        <v>138</v>
      </c>
      <c r="G51" t="s">
        <v>138</v>
      </c>
      <c r="H51" t="s">
        <v>139</v>
      </c>
      <c r="I51" t="s">
        <v>140</v>
      </c>
      <c r="J51">
        <v>2</v>
      </c>
      <c r="K51" t="s">
        <v>98</v>
      </c>
      <c r="L51">
        <v>756</v>
      </c>
      <c r="M51">
        <v>38</v>
      </c>
      <c r="N51">
        <f t="shared" si="0"/>
        <v>468.72</v>
      </c>
      <c r="O51">
        <f t="shared" si="1"/>
        <v>756</v>
      </c>
      <c r="P51">
        <v>0</v>
      </c>
      <c r="Q51" s="2">
        <v>82032000</v>
      </c>
    </row>
    <row r="52" spans="1:17" x14ac:dyDescent="0.25">
      <c r="A52">
        <v>2</v>
      </c>
      <c r="B52" t="s">
        <v>16</v>
      </c>
      <c r="C52">
        <v>1</v>
      </c>
      <c r="D52" s="1"/>
      <c r="E52" t="s">
        <v>141</v>
      </c>
      <c r="F52" t="s">
        <v>141</v>
      </c>
      <c r="G52" t="s">
        <v>141</v>
      </c>
      <c r="H52" t="s">
        <v>142</v>
      </c>
      <c r="I52" t="s">
        <v>143</v>
      </c>
      <c r="J52">
        <v>2</v>
      </c>
      <c r="K52" t="s">
        <v>98</v>
      </c>
      <c r="L52">
        <v>5487</v>
      </c>
      <c r="M52">
        <v>38</v>
      </c>
      <c r="N52">
        <f t="shared" si="0"/>
        <v>3401.94</v>
      </c>
      <c r="O52">
        <f t="shared" si="1"/>
        <v>5487</v>
      </c>
      <c r="P52">
        <v>0</v>
      </c>
      <c r="Q52" s="2">
        <v>82042000</v>
      </c>
    </row>
    <row r="53" spans="1:17" x14ac:dyDescent="0.25">
      <c r="A53">
        <v>2</v>
      </c>
      <c r="B53" t="s">
        <v>16</v>
      </c>
      <c r="C53">
        <v>1</v>
      </c>
      <c r="D53" s="1"/>
      <c r="E53" t="s">
        <v>144</v>
      </c>
      <c r="F53" t="s">
        <v>144</v>
      </c>
      <c r="G53" t="s">
        <v>144</v>
      </c>
      <c r="H53" t="s">
        <v>145</v>
      </c>
      <c r="I53" t="s">
        <v>146</v>
      </c>
      <c r="J53">
        <v>2</v>
      </c>
      <c r="K53" t="s">
        <v>147</v>
      </c>
      <c r="L53">
        <v>47.94</v>
      </c>
      <c r="M53">
        <v>0</v>
      </c>
      <c r="N53">
        <f t="shared" si="0"/>
        <v>47.94</v>
      </c>
      <c r="O53">
        <f t="shared" si="1"/>
        <v>59.924999999999997</v>
      </c>
      <c r="P53">
        <v>25</v>
      </c>
      <c r="Q53" s="2">
        <v>90178010</v>
      </c>
    </row>
    <row r="54" spans="1:17" x14ac:dyDescent="0.25">
      <c r="A54">
        <v>2</v>
      </c>
      <c r="B54" t="s">
        <v>16</v>
      </c>
      <c r="C54">
        <v>1</v>
      </c>
      <c r="D54" s="1"/>
      <c r="E54" t="s">
        <v>148</v>
      </c>
      <c r="F54" t="s">
        <v>148</v>
      </c>
      <c r="G54" t="s">
        <v>148</v>
      </c>
      <c r="H54" t="s">
        <v>149</v>
      </c>
      <c r="I54" t="s">
        <v>150</v>
      </c>
      <c r="J54">
        <v>2</v>
      </c>
      <c r="K54" t="s">
        <v>147</v>
      </c>
      <c r="L54">
        <v>240</v>
      </c>
      <c r="M54">
        <v>0</v>
      </c>
      <c r="N54">
        <f t="shared" si="0"/>
        <v>240</v>
      </c>
      <c r="O54">
        <f t="shared" si="1"/>
        <v>300</v>
      </c>
      <c r="P54">
        <v>25</v>
      </c>
      <c r="Q54" s="2">
        <v>90172010</v>
      </c>
    </row>
    <row r="55" spans="1:17" x14ac:dyDescent="0.25">
      <c r="A55">
        <v>2</v>
      </c>
      <c r="B55" t="s">
        <v>16</v>
      </c>
      <c r="C55">
        <v>1</v>
      </c>
      <c r="D55" s="1"/>
      <c r="E55" t="s">
        <v>151</v>
      </c>
      <c r="F55" t="s">
        <v>151</v>
      </c>
      <c r="G55" t="s">
        <v>151</v>
      </c>
      <c r="H55" t="s">
        <v>152</v>
      </c>
      <c r="I55" t="s">
        <v>153</v>
      </c>
      <c r="J55">
        <v>2</v>
      </c>
      <c r="K55" t="s">
        <v>20</v>
      </c>
      <c r="L55">
        <v>620</v>
      </c>
      <c r="M55">
        <v>45</v>
      </c>
      <c r="N55">
        <f t="shared" si="0"/>
        <v>341</v>
      </c>
      <c r="O55">
        <f t="shared" si="1"/>
        <v>620</v>
      </c>
      <c r="P55">
        <v>0</v>
      </c>
      <c r="Q55" s="2">
        <v>82057000</v>
      </c>
    </row>
    <row r="56" spans="1:17" x14ac:dyDescent="0.25">
      <c r="A56">
        <v>2</v>
      </c>
      <c r="B56" t="s">
        <v>16</v>
      </c>
      <c r="C56">
        <v>1</v>
      </c>
      <c r="D56" s="1"/>
      <c r="E56" t="s">
        <v>154</v>
      </c>
      <c r="F56" t="s">
        <v>154</v>
      </c>
      <c r="G56" t="s">
        <v>154</v>
      </c>
      <c r="H56" t="s">
        <v>152</v>
      </c>
      <c r="I56" t="s">
        <v>155</v>
      </c>
      <c r="J56">
        <v>2</v>
      </c>
      <c r="K56" t="s">
        <v>20</v>
      </c>
      <c r="L56">
        <v>898</v>
      </c>
      <c r="M56">
        <v>45</v>
      </c>
      <c r="N56">
        <f t="shared" si="0"/>
        <v>493.9</v>
      </c>
      <c r="O56">
        <f t="shared" si="1"/>
        <v>898</v>
      </c>
      <c r="P56">
        <v>0</v>
      </c>
      <c r="Q56" s="2">
        <v>82057000</v>
      </c>
    </row>
    <row r="57" spans="1:17" x14ac:dyDescent="0.25">
      <c r="A57">
        <v>2</v>
      </c>
      <c r="B57" t="s">
        <v>16</v>
      </c>
      <c r="C57">
        <v>1</v>
      </c>
      <c r="D57" s="1"/>
      <c r="E57" t="s">
        <v>156</v>
      </c>
      <c r="F57" t="s">
        <v>156</v>
      </c>
      <c r="G57" t="s">
        <v>156</v>
      </c>
      <c r="H57" t="s">
        <v>152</v>
      </c>
      <c r="I57" t="s">
        <v>157</v>
      </c>
      <c r="J57">
        <v>2</v>
      </c>
      <c r="K57" t="s">
        <v>20</v>
      </c>
      <c r="L57">
        <v>1407</v>
      </c>
      <c r="M57">
        <v>45</v>
      </c>
      <c r="N57">
        <f t="shared" si="0"/>
        <v>773.85</v>
      </c>
      <c r="O57">
        <f t="shared" si="1"/>
        <v>1407</v>
      </c>
      <c r="P57">
        <v>0</v>
      </c>
      <c r="Q57" s="2">
        <v>82057000</v>
      </c>
    </row>
    <row r="58" spans="1:17" x14ac:dyDescent="0.25">
      <c r="A58">
        <v>2</v>
      </c>
      <c r="B58" t="s">
        <v>16</v>
      </c>
      <c r="C58">
        <v>1</v>
      </c>
      <c r="D58" s="1"/>
      <c r="E58" t="s">
        <v>158</v>
      </c>
      <c r="F58" t="s">
        <v>158</v>
      </c>
      <c r="G58" t="s">
        <v>158</v>
      </c>
      <c r="H58" t="s">
        <v>159</v>
      </c>
      <c r="I58" t="s">
        <v>160</v>
      </c>
      <c r="J58">
        <v>2</v>
      </c>
      <c r="K58" t="s">
        <v>20</v>
      </c>
      <c r="L58">
        <v>572</v>
      </c>
      <c r="M58">
        <v>45</v>
      </c>
      <c r="N58">
        <f t="shared" si="0"/>
        <v>314.60000000000002</v>
      </c>
      <c r="O58">
        <f t="shared" si="1"/>
        <v>572</v>
      </c>
      <c r="P58">
        <v>0</v>
      </c>
      <c r="Q58" s="2" t="s">
        <v>161</v>
      </c>
    </row>
    <row r="59" spans="1:17" x14ac:dyDescent="0.25">
      <c r="A59">
        <v>2</v>
      </c>
      <c r="B59" t="s">
        <v>16</v>
      </c>
      <c r="C59">
        <v>1</v>
      </c>
      <c r="D59" s="1"/>
      <c r="E59" t="s">
        <v>162</v>
      </c>
      <c r="F59" t="s">
        <v>162</v>
      </c>
      <c r="G59" t="s">
        <v>162</v>
      </c>
      <c r="H59" t="s">
        <v>163</v>
      </c>
      <c r="I59" t="s">
        <v>164</v>
      </c>
      <c r="J59">
        <v>2</v>
      </c>
      <c r="K59" t="s">
        <v>165</v>
      </c>
      <c r="L59">
        <v>103.8</v>
      </c>
      <c r="M59">
        <v>0</v>
      </c>
      <c r="N59">
        <f t="shared" si="0"/>
        <v>103.8</v>
      </c>
      <c r="O59">
        <f t="shared" si="1"/>
        <v>129.75</v>
      </c>
      <c r="P59">
        <v>25</v>
      </c>
      <c r="Q59" s="2">
        <v>90172020</v>
      </c>
    </row>
    <row r="60" spans="1:17" x14ac:dyDescent="0.25">
      <c r="A60">
        <v>2</v>
      </c>
      <c r="B60" t="s">
        <v>16</v>
      </c>
      <c r="C60">
        <v>1</v>
      </c>
      <c r="D60" s="1"/>
      <c r="E60" t="s">
        <v>166</v>
      </c>
      <c r="F60" t="s">
        <v>166</v>
      </c>
      <c r="G60" t="s">
        <v>166</v>
      </c>
      <c r="H60" t="s">
        <v>167</v>
      </c>
      <c r="I60" t="s">
        <v>168</v>
      </c>
      <c r="J60">
        <v>2</v>
      </c>
      <c r="K60" t="s">
        <v>169</v>
      </c>
      <c r="L60">
        <v>2017</v>
      </c>
      <c r="M60">
        <v>0</v>
      </c>
      <c r="N60">
        <f t="shared" si="0"/>
        <v>2017</v>
      </c>
      <c r="O60">
        <f t="shared" si="1"/>
        <v>2521.25</v>
      </c>
      <c r="P60">
        <v>25</v>
      </c>
      <c r="Q60" s="2">
        <v>84672100</v>
      </c>
    </row>
    <row r="61" spans="1:17" x14ac:dyDescent="0.25">
      <c r="A61">
        <v>2</v>
      </c>
      <c r="B61" t="s">
        <v>16</v>
      </c>
      <c r="C61">
        <v>1</v>
      </c>
      <c r="D61" s="1"/>
      <c r="E61" t="s">
        <v>170</v>
      </c>
      <c r="F61" t="s">
        <v>170</v>
      </c>
      <c r="G61" t="s">
        <v>170</v>
      </c>
      <c r="H61" t="s">
        <v>171</v>
      </c>
      <c r="I61" t="s">
        <v>172</v>
      </c>
      <c r="J61">
        <v>2</v>
      </c>
      <c r="K61" t="s">
        <v>169</v>
      </c>
      <c r="L61">
        <v>2322</v>
      </c>
      <c r="M61">
        <v>0</v>
      </c>
      <c r="N61">
        <f t="shared" si="0"/>
        <v>2322</v>
      </c>
      <c r="O61">
        <f t="shared" si="1"/>
        <v>2902.5</v>
      </c>
      <c r="P61">
        <v>25</v>
      </c>
      <c r="Q61" s="2">
        <v>84672100</v>
      </c>
    </row>
    <row r="62" spans="1:17" x14ac:dyDescent="0.25">
      <c r="A62">
        <v>2</v>
      </c>
      <c r="B62" t="s">
        <v>16</v>
      </c>
      <c r="C62">
        <v>1</v>
      </c>
      <c r="D62" s="1"/>
      <c r="E62" t="s">
        <v>173</v>
      </c>
      <c r="F62" t="s">
        <v>173</v>
      </c>
      <c r="G62" t="s">
        <v>173</v>
      </c>
      <c r="H62" t="s">
        <v>174</v>
      </c>
      <c r="I62" t="s">
        <v>175</v>
      </c>
      <c r="J62">
        <v>2</v>
      </c>
      <c r="K62" t="s">
        <v>176</v>
      </c>
      <c r="L62">
        <v>4140</v>
      </c>
      <c r="M62">
        <v>0</v>
      </c>
      <c r="N62">
        <f t="shared" si="0"/>
        <v>4140</v>
      </c>
      <c r="O62">
        <f t="shared" si="1"/>
        <v>5175</v>
      </c>
      <c r="P62">
        <v>25</v>
      </c>
      <c r="Q62" s="2" t="s">
        <v>177</v>
      </c>
    </row>
    <row r="63" spans="1:17" x14ac:dyDescent="0.25">
      <c r="A63">
        <v>2</v>
      </c>
      <c r="B63" t="s">
        <v>16</v>
      </c>
      <c r="C63">
        <v>1</v>
      </c>
      <c r="D63" s="1"/>
      <c r="E63" t="s">
        <v>178</v>
      </c>
      <c r="F63" t="s">
        <v>178</v>
      </c>
      <c r="G63" t="s">
        <v>178</v>
      </c>
      <c r="H63" t="s">
        <v>179</v>
      </c>
      <c r="I63" t="s">
        <v>180</v>
      </c>
      <c r="J63">
        <v>2</v>
      </c>
      <c r="K63" t="s">
        <v>181</v>
      </c>
      <c r="L63">
        <v>4000</v>
      </c>
      <c r="M63">
        <v>0</v>
      </c>
      <c r="N63">
        <f t="shared" si="0"/>
        <v>4000</v>
      </c>
      <c r="O63">
        <f t="shared" si="1"/>
        <v>5000</v>
      </c>
      <c r="P63">
        <v>25</v>
      </c>
      <c r="Q63" s="2">
        <v>90303100</v>
      </c>
    </row>
    <row r="64" spans="1:17" x14ac:dyDescent="0.25">
      <c r="A64">
        <v>2</v>
      </c>
      <c r="B64" t="s">
        <v>16</v>
      </c>
      <c r="C64">
        <v>1</v>
      </c>
      <c r="D64" s="1"/>
      <c r="E64" t="s">
        <v>182</v>
      </c>
      <c r="F64" t="s">
        <v>182</v>
      </c>
      <c r="G64" t="s">
        <v>182</v>
      </c>
      <c r="H64" t="s">
        <v>183</v>
      </c>
      <c r="I64" t="s">
        <v>184</v>
      </c>
      <c r="J64">
        <v>2</v>
      </c>
      <c r="K64" t="s">
        <v>181</v>
      </c>
      <c r="L64">
        <v>7900</v>
      </c>
      <c r="M64">
        <v>0</v>
      </c>
      <c r="N64">
        <f t="shared" si="0"/>
        <v>7900</v>
      </c>
      <c r="O64">
        <f t="shared" si="1"/>
        <v>9875</v>
      </c>
      <c r="P64">
        <v>25</v>
      </c>
      <c r="Q64" s="2">
        <v>90303100</v>
      </c>
    </row>
    <row r="65" spans="1:17" x14ac:dyDescent="0.25">
      <c r="A65">
        <v>2</v>
      </c>
      <c r="B65" t="s">
        <v>16</v>
      </c>
      <c r="C65">
        <v>1</v>
      </c>
      <c r="D65" s="1"/>
      <c r="E65" t="s">
        <v>185</v>
      </c>
      <c r="F65" t="s">
        <v>185</v>
      </c>
      <c r="G65" t="s">
        <v>185</v>
      </c>
      <c r="H65" t="s">
        <v>186</v>
      </c>
      <c r="I65" t="s">
        <v>187</v>
      </c>
      <c r="J65">
        <v>2</v>
      </c>
      <c r="K65" t="s">
        <v>181</v>
      </c>
      <c r="L65">
        <v>11800</v>
      </c>
      <c r="M65">
        <v>0</v>
      </c>
      <c r="N65">
        <f t="shared" si="0"/>
        <v>11800</v>
      </c>
      <c r="O65">
        <f t="shared" si="1"/>
        <v>14750</v>
      </c>
      <c r="P65">
        <v>25</v>
      </c>
      <c r="Q65" s="2" t="s">
        <v>188</v>
      </c>
    </row>
    <row r="66" spans="1:17" x14ac:dyDescent="0.25">
      <c r="A66">
        <v>2</v>
      </c>
      <c r="B66" t="s">
        <v>16</v>
      </c>
      <c r="C66">
        <v>1</v>
      </c>
      <c r="D66" s="1"/>
      <c r="E66" t="s">
        <v>189</v>
      </c>
      <c r="F66" t="s">
        <v>189</v>
      </c>
      <c r="G66" t="s">
        <v>189</v>
      </c>
      <c r="H66" t="s">
        <v>190</v>
      </c>
      <c r="I66" t="s">
        <v>191</v>
      </c>
      <c r="J66">
        <v>2</v>
      </c>
      <c r="K66" t="s">
        <v>192</v>
      </c>
      <c r="L66">
        <v>22400</v>
      </c>
      <c r="M66">
        <v>0</v>
      </c>
      <c r="N66">
        <f t="shared" si="0"/>
        <v>22400</v>
      </c>
      <c r="O66">
        <f t="shared" si="1"/>
        <v>28000</v>
      </c>
      <c r="P66">
        <v>25</v>
      </c>
      <c r="Q66" s="2" t="s">
        <v>193</v>
      </c>
    </row>
    <row r="67" spans="1:17" x14ac:dyDescent="0.25">
      <c r="A67">
        <v>2</v>
      </c>
      <c r="B67" t="s">
        <v>16</v>
      </c>
      <c r="C67">
        <v>1</v>
      </c>
      <c r="D67" s="1"/>
      <c r="E67" t="s">
        <v>194</v>
      </c>
      <c r="F67" t="s">
        <v>194</v>
      </c>
      <c r="G67" t="s">
        <v>194</v>
      </c>
      <c r="H67" t="s">
        <v>190</v>
      </c>
      <c r="I67" t="s">
        <v>195</v>
      </c>
      <c r="J67">
        <v>2</v>
      </c>
      <c r="K67" t="s">
        <v>192</v>
      </c>
      <c r="L67">
        <v>15400</v>
      </c>
      <c r="M67">
        <v>0</v>
      </c>
      <c r="N67">
        <f t="shared" ref="N67:N72" si="2">L67-(L67*M67/100)</f>
        <v>15400</v>
      </c>
      <c r="O67">
        <f t="shared" ref="O67:O72" si="3">(L67*P67/100)+L67</f>
        <v>19250</v>
      </c>
      <c r="P67">
        <v>25</v>
      </c>
      <c r="Q67" s="2" t="s">
        <v>193</v>
      </c>
    </row>
    <row r="68" spans="1:17" x14ac:dyDescent="0.25">
      <c r="A68">
        <v>2</v>
      </c>
      <c r="B68" t="s">
        <v>16</v>
      </c>
      <c r="C68">
        <v>1</v>
      </c>
      <c r="D68" s="1"/>
      <c r="E68" t="s">
        <v>196</v>
      </c>
      <c r="F68" t="s">
        <v>196</v>
      </c>
      <c r="G68" t="s">
        <v>196</v>
      </c>
      <c r="H68" t="s">
        <v>190</v>
      </c>
      <c r="I68" t="s">
        <v>197</v>
      </c>
      <c r="J68">
        <v>2</v>
      </c>
      <c r="K68" t="s">
        <v>192</v>
      </c>
      <c r="L68">
        <v>18200</v>
      </c>
      <c r="M68">
        <v>0</v>
      </c>
      <c r="N68">
        <f t="shared" si="2"/>
        <v>18200</v>
      </c>
      <c r="O68">
        <f t="shared" si="3"/>
        <v>22750</v>
      </c>
      <c r="P68">
        <v>25</v>
      </c>
      <c r="Q68" s="2" t="s">
        <v>193</v>
      </c>
    </row>
    <row r="69" spans="1:17" x14ac:dyDescent="0.25">
      <c r="A69">
        <v>2</v>
      </c>
      <c r="B69" t="s">
        <v>16</v>
      </c>
      <c r="C69">
        <v>1</v>
      </c>
      <c r="D69" s="1"/>
      <c r="E69" t="s">
        <v>198</v>
      </c>
      <c r="F69" t="s">
        <v>198</v>
      </c>
      <c r="G69" t="s">
        <v>198</v>
      </c>
      <c r="H69" t="s">
        <v>199</v>
      </c>
      <c r="I69" t="s">
        <v>200</v>
      </c>
      <c r="J69">
        <v>2</v>
      </c>
      <c r="K69" t="s">
        <v>165</v>
      </c>
      <c r="L69">
        <v>175</v>
      </c>
      <c r="M69">
        <v>0</v>
      </c>
      <c r="N69">
        <f t="shared" si="2"/>
        <v>175</v>
      </c>
      <c r="O69">
        <f t="shared" si="3"/>
        <v>218.75</v>
      </c>
      <c r="P69">
        <v>25</v>
      </c>
      <c r="Q69" s="2">
        <v>82032000</v>
      </c>
    </row>
    <row r="70" spans="1:17" x14ac:dyDescent="0.25">
      <c r="A70">
        <v>2</v>
      </c>
      <c r="B70" t="s">
        <v>16</v>
      </c>
      <c r="C70">
        <v>1</v>
      </c>
      <c r="D70" s="1"/>
      <c r="E70" t="s">
        <v>201</v>
      </c>
      <c r="F70" t="s">
        <v>201</v>
      </c>
      <c r="G70" t="s">
        <v>201</v>
      </c>
      <c r="H70" t="s">
        <v>202</v>
      </c>
      <c r="I70" t="s">
        <v>203</v>
      </c>
      <c r="J70">
        <v>2</v>
      </c>
      <c r="K70" t="s">
        <v>98</v>
      </c>
      <c r="L70">
        <v>577</v>
      </c>
      <c r="M70">
        <v>38</v>
      </c>
      <c r="N70">
        <f t="shared" si="2"/>
        <v>357.74</v>
      </c>
      <c r="O70">
        <f t="shared" si="3"/>
        <v>721.25</v>
      </c>
      <c r="P70">
        <v>25</v>
      </c>
      <c r="Q70" s="2">
        <v>82032000</v>
      </c>
    </row>
    <row r="71" spans="1:17" x14ac:dyDescent="0.25">
      <c r="D71" t="s">
        <v>207</v>
      </c>
      <c r="E71" t="s">
        <v>208</v>
      </c>
      <c r="F71" t="s">
        <v>208</v>
      </c>
      <c r="G71" t="s">
        <v>208</v>
      </c>
      <c r="H71" t="s">
        <v>210</v>
      </c>
      <c r="I71" t="s">
        <v>205</v>
      </c>
      <c r="J71">
        <v>2</v>
      </c>
      <c r="K71" t="s">
        <v>98</v>
      </c>
      <c r="L71">
        <v>59984</v>
      </c>
      <c r="M71">
        <v>45</v>
      </c>
      <c r="N71">
        <f t="shared" si="2"/>
        <v>32991.199999999997</v>
      </c>
      <c r="O71">
        <f t="shared" si="3"/>
        <v>59984</v>
      </c>
      <c r="P71">
        <v>0</v>
      </c>
      <c r="Q71" s="5"/>
    </row>
    <row r="72" spans="1:17" x14ac:dyDescent="0.25">
      <c r="D72" t="s">
        <v>207</v>
      </c>
      <c r="E72" t="s">
        <v>209</v>
      </c>
      <c r="F72" t="s">
        <v>209</v>
      </c>
      <c r="G72" t="s">
        <v>209</v>
      </c>
      <c r="H72" t="s">
        <v>210</v>
      </c>
      <c r="I72" t="s">
        <v>206</v>
      </c>
      <c r="J72">
        <v>2</v>
      </c>
      <c r="K72" t="s">
        <v>98</v>
      </c>
      <c r="L72">
        <v>18487</v>
      </c>
      <c r="M72">
        <v>45</v>
      </c>
      <c r="N72">
        <f t="shared" si="2"/>
        <v>10167.85</v>
      </c>
      <c r="O72">
        <f t="shared" si="3"/>
        <v>18487</v>
      </c>
      <c r="P72">
        <v>0</v>
      </c>
      <c r="Q7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2026-06-24T10:28:50Z</dcterms:created>
  <dcterms:modified xsi:type="dcterms:W3CDTF">2026-06-24T10:48:35Z</dcterms:modified>
</cp:coreProperties>
</file>